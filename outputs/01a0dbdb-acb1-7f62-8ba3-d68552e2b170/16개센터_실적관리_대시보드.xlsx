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7424fc83b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e94585bd8e490b"/>
    <x:sheet xmlns:r="http://schemas.openxmlformats.org/officeDocument/2006/relationships" name="Center Detail" sheetId="2" r:id="R8aae50155603463c"/>
    <x:sheet xmlns:r="http://schemas.openxmlformats.org/officeDocument/2006/relationships" name="Weekly Plan" sheetId="3" r:id="Rda2a3267ca254fea"/>
    <x:sheet xmlns:r="http://schemas.openxmlformats.org/officeDocument/2006/relationships" name="Sources" sheetId="4" r:id="R3962005fdc24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%"/>
    <x:numFmt numFmtId="203" formatCode="yyyy-mm-dd"/>
    <x:numFmt numFmtId="204" formatCode="0.0"/>
  </x:numFmts>
  <x:fonts count="10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17365D"/>
      <x:name val="Arial"/>
    </x:font>
    <x:font>
      <x:b/>
      <x:sz val="16"/>
      <x:color rgb="FF2F75B5"/>
      <x:name val="Arial"/>
    </x:font>
    <x:font>
      <x:sz val="8"/>
      <x:color rgb="FF80808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FFFFFF"/>
      </x:right>
      <x:top style="thin">
        <x:color rgb="FFBFBFBF"/>
      </x:top>
      <x:bottom style="thin">
        <x:color rgb="FFFFFFFF"/>
      </x:bottom>
    </x:border>
    <x:border>
      <x:left style="thin">
        <x:color rgb="FFFFFFFF"/>
      </x:left>
      <x:right style="thin">
        <x:color rgb="FFBFBFBF"/>
      </x:right>
      <x:top style="thin">
        <x:color rgb="FFBFBFBF"/>
      </x:top>
      <x:bottom style="thin">
        <x:color rgb="FFFFFFFF"/>
      </x:bottom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BFBFB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BFBFBF"/>
      </x:bottom>
    </x:border>
    <x:border>
      <x:top style="thin">
        <x:color rgb="FFE7E6E6"/>
      </x:top>
      <x:bottom style="thin">
        <x:color rgb="FFBFBFBF"/>
      </x:bottom>
    </x:border>
    <x:border>
      <x:right style="thin">
        <x:color rgb="FFFFFFFF"/>
      </x:right>
      <x:top style="thin">
        <x:color rgb="FFE7E6E6"/>
      </x:top>
      <x:bottom style="thin">
        <x:color rgb="FFBFBFBF"/>
      </x:bottom>
    </x:border>
    <x:border>
      <x:bottom style="thin">
        <x:color rgb="FF2F75B5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201" fontId="4" fillId="0" borderId="15" xfId="0" applyNumberFormat="1" applyFont="1" applyFill="1" applyBorder="1" applyAlignment="1">
      <x:alignment vertical="center"/>
    </x:xf>
    <x:xf numFmtId="200" fontId="4" fillId="0" borderId="15" xfId="0" applyNumberFormat="1" applyFont="1" applyFill="1" applyBorder="1" applyAlignment="1">
      <x:alignment vertical="center"/>
    </x:xf>
    <x:xf numFmtId="202" fontId="4" fillId="0" borderId="15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203" fontId="4" fillId="3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203" fontId="4" fillId="3" borderId="15" xfId="0" applyNumberFormat="1" applyFont="1" applyFill="1" applyBorder="1" applyAlignment="1">
      <x:alignment vertical="center"/>
    </x:xf>
    <x:xf numFmtId="0" fontId="4" fillId="3" borderId="1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24" xfId="0" applyNumberFormat="1" applyFont="1" applyFill="1" applyBorder="1"/>
    <x:xf numFmtId="0" fontId="3" fillId="4" borderId="25" xfId="0" applyNumberFormat="1" applyFont="1" applyFill="1" applyBorder="1"/>
    <x:xf numFmtId="0" fontId="3" fillId="4" borderId="18" xfId="0" applyNumberFormat="1" applyFont="1" applyFill="1" applyBorder="1" applyAlignment="1">
      <x:alignment horizontal="center"/>
    </x:xf>
    <x:xf numFmtId="0" fontId="3" fillId="4" borderId="19" xfId="0" applyNumberFormat="1" applyFont="1" applyFill="1" applyBorder="1" applyAlignment="1">
      <x:alignment horizontal="center"/>
    </x:xf>
    <x:xf numFmtId="0" fontId="3" fillId="4" borderId="20" xfId="0" applyNumberFormat="1" applyFont="1" applyFill="1" applyBorder="1" applyAlignment="1">
      <x:alignment horizontal="center"/>
    </x:xf>
    <x:xf numFmtId="0" fontId="3" fillId="4" borderId="2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22" xfId="0" applyNumberFormat="1" applyFont="1" applyFill="1" applyBorder="1" applyAlignment="1">
      <x:alignment horizontal="center"/>
    </x:xf>
    <x:xf numFmtId="0" fontId="3" fillId="4" borderId="23" xfId="0" applyNumberFormat="1" applyFont="1" applyFill="1" applyBorder="1" applyAlignment="1">
      <x:alignment horizontal="center"/>
    </x:xf>
    <x:xf numFmtId="0" fontId="3" fillId="4" borderId="24" xfId="0" applyNumberFormat="1" applyFont="1" applyFill="1" applyBorder="1" applyAlignment="1">
      <x:alignment horizontal="center"/>
    </x:xf>
    <x:xf numFmtId="0" fontId="3" fillId="4" borderId="25" xfId="0" applyNumberFormat="1" applyFont="1" applyFill="1" applyBorder="1" applyAlignment="1">
      <x:alignment horizontal="center"/>
    </x:xf>
    <x:xf numFmtId="0" fontId="3" fillId="4" borderId="18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 applyAlignment="1">
      <x:alignment horizontal="center" vertical="center"/>
    </x:xf>
    <x:xf numFmtId="0" fontId="3" fillId="4" borderId="20" xfId="0" applyNumberFormat="1" applyFont="1" applyFill="1" applyBorder="1" applyAlignment="1">
      <x:alignment horizontal="center" vertical="center"/>
    </x:xf>
    <x:xf numFmtId="0" fontId="3" fillId="4" borderId="2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22" xfId="0" applyNumberFormat="1" applyFont="1" applyFill="1" applyBorder="1" applyAlignment="1">
      <x:alignment horizontal="center" vertical="center"/>
    </x:xf>
    <x:xf numFmtId="0" fontId="3" fillId="4" borderId="23" xfId="0" applyNumberFormat="1" applyFont="1" applyFill="1" applyBorder="1" applyAlignment="1">
      <x:alignment horizontal="center" vertical="center"/>
    </x:xf>
    <x:xf numFmtId="0" fontId="3" fillId="4" borderId="24" xfId="0" applyNumberFormat="1" applyFont="1" applyFill="1" applyBorder="1" applyAlignment="1">
      <x:alignment horizontal="center" vertical="center"/>
    </x:xf>
    <x:xf numFmtId="0" fontId="3" fillId="4" borderId="25" xfId="0" applyNumberFormat="1" applyFont="1" applyFill="1" applyBorder="1" applyAlignment="1">
      <x:alignment horizontal="center" vertical="center"/>
    </x:xf>
    <x:xf numFmtId="0" fontId="7" fillId="4" borderId="18" xfId="0" applyNumberFormat="1" applyFont="1" applyFill="1" applyBorder="1" applyAlignment="1">
      <x:alignment horizontal="center" vertical="center"/>
    </x:xf>
    <x:xf numFmtId="0" fontId="8" fillId="4" borderId="21" xfId="0" applyNumberFormat="1" applyFont="1" applyFill="1" applyBorder="1" applyAlignment="1">
      <x:alignment horizontal="center" vertical="center"/>
    </x:xf>
    <x:xf numFmtId="201" fontId="8" fillId="4" borderId="21" xfId="0" applyNumberFormat="1" applyFont="1" applyFill="1" applyBorder="1" applyAlignment="1">
      <x:alignment horizontal="center" vertical="center"/>
    </x:xf>
    <x:xf numFmtId="200" fontId="8" fillId="4" borderId="21" xfId="0" applyNumberFormat="1" applyFont="1" applyFill="1" applyBorder="1" applyAlignment="1">
      <x:alignment horizontal="center" vertical="center"/>
    </x:xf>
    <x:xf numFmtId="204" fontId="8" fillId="4" borderId="2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8" xfId="0" applyNumberFormat="1" applyFont="1" applyFill="1" applyBorder="1"/>
    <x:xf numFmtId="0" fontId="3" fillId="0" borderId="29" xfId="0" applyNumberFormat="1" applyFont="1" applyFill="1" applyBorder="1"/>
    <x:xf numFmtId="0" fontId="3" fillId="0" borderId="30" xfId="0" applyNumberFormat="1" applyFont="1" applyFill="1" applyBorder="1"/>
    <x:xf numFmtId="0" fontId="3" fillId="0" borderId="31" xfId="0" applyNumberFormat="1" applyFont="1" applyFill="1" applyBorder="1"/>
    <x:xf numFmtId="0" fontId="3" fillId="0" borderId="32" xfId="0" applyNumberFormat="1" applyFont="1" applyFill="1" applyBorder="1"/>
    <x:xf numFmtId="0" fontId="3" fillId="0" borderId="33" xfId="0" applyNumberFormat="1" applyFont="1" applyFill="1" applyBorder="1"/>
    <x:xf numFmtId="0" fontId="3" fillId="0" borderId="34" xfId="0" applyNumberFormat="1" applyFont="1" applyFill="1" applyBorder="1"/>
    <x:xf numFmtId="0" fontId="3" fillId="0" borderId="35" xfId="0" applyNumberFormat="1" applyFont="1" applyFill="1" applyBorder="1"/>
    <x:xf numFmtId="0" fontId="3" fillId="0" borderId="36" xfId="0" applyNumberFormat="1" applyFont="1" applyFill="1" applyBorder="1"/>
    <x:xf numFmtId="0" fontId="3" fillId="0" borderId="29" xfId="0" applyNumberFormat="1" applyFont="1" applyFill="1" applyBorder="1" applyAlignment="1">
      <x:alignment wrapText="1"/>
    </x:xf>
    <x:xf numFmtId="0" fontId="3" fillId="0" borderId="30" xfId="0" applyNumberFormat="1" applyFont="1" applyFill="1" applyBorder="1" applyAlignment="1">
      <x:alignment wrapText="1"/>
    </x:xf>
    <x:xf numFmtId="0" fontId="3" fillId="0" borderId="31" xfId="0" applyNumberFormat="1" applyFont="1" applyFill="1" applyBorder="1" applyAlignment="1">
      <x:alignment wrapText="1"/>
    </x:xf>
    <x:xf numFmtId="0" fontId="3" fillId="0" borderId="32" xfId="0" applyNumberFormat="1" applyFont="1" applyFill="1" applyBorder="1" applyAlignment="1">
      <x:alignment wrapText="1"/>
    </x:xf>
    <x:xf numFmtId="0" fontId="3" fillId="0" borderId="33" xfId="0" applyNumberFormat="1" applyFont="1" applyFill="1" applyBorder="1" applyAlignment="1">
      <x:alignment wrapText="1"/>
    </x:xf>
    <x:xf numFmtId="0" fontId="3" fillId="0" borderId="34" xfId="0" applyNumberFormat="1" applyFont="1" applyFill="1" applyBorder="1" applyAlignment="1">
      <x:alignment wrapText="1"/>
    </x:xf>
    <x:xf numFmtId="0" fontId="3" fillId="0" borderId="35" xfId="0" applyNumberFormat="1" applyFont="1" applyFill="1" applyBorder="1" applyAlignment="1">
      <x:alignment wrapText="1"/>
    </x:xf>
    <x:xf numFmtId="0" fontId="3" fillId="0" borderId="36" xfId="0" applyNumberFormat="1" applyFont="1" applyFill="1" applyBorder="1" applyAlignment="1">
      <x:alignment wrapText="1"/>
    </x:xf>
    <x:xf numFmtId="0" fontId="3" fillId="0" borderId="29" xfId="0" applyNumberFormat="1" applyFont="1" applyFill="1" applyBorder="1" applyAlignment="1">
      <x:alignment vertical="center" wrapText="1"/>
    </x:xf>
    <x:xf numFmtId="0" fontId="3" fillId="0" borderId="30" xfId="0" applyNumberFormat="1" applyFont="1" applyFill="1" applyBorder="1" applyAlignment="1">
      <x:alignment vertical="center" wrapText="1"/>
    </x:xf>
    <x:xf numFmtId="0" fontId="3" fillId="0" borderId="31" xfId="0" applyNumberFormat="1" applyFont="1" applyFill="1" applyBorder="1" applyAlignment="1">
      <x:alignment vertical="center" wrapText="1"/>
    </x:xf>
    <x:xf numFmtId="0" fontId="3" fillId="0" borderId="3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3" xfId="0" applyNumberFormat="1" applyFont="1" applyFill="1" applyBorder="1" applyAlignment="1">
      <x:alignment vertical="center" wrapText="1"/>
    </x:xf>
    <x:xf numFmtId="0" fontId="3" fillId="0" borderId="34" xfId="0" applyNumberFormat="1" applyFont="1" applyFill="1" applyBorder="1" applyAlignment="1">
      <x:alignment vertical="center" wrapText="1"/>
    </x:xf>
    <x:xf numFmtId="0" fontId="3" fillId="0" borderId="35" xfId="0" applyNumberFormat="1" applyFont="1" applyFill="1" applyBorder="1" applyAlignment="1">
      <x:alignment vertical="center" wrapText="1"/>
    </x:xf>
    <x:xf numFmtId="0" fontId="3" fillId="0" borderId="3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7" fillId="5" borderId="26" xfId="0" applyNumberFormat="1" applyFont="1" applyFill="1" applyBorder="1" applyAlignment="1">
      <x:alignment vertical="center"/>
    </x:xf>
    <x:xf numFmtId="0" fontId="7" fillId="5" borderId="27" xfId="0" applyNumberFormat="1" applyFont="1" applyFill="1" applyBorder="1" applyAlignment="1">
      <x:alignment vertical="center"/>
    </x:xf>
    <x:xf numFmtId="0" fontId="7" fillId="5" borderId="28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c507dafd74bb0" /><Relationship Type="http://schemas.openxmlformats.org/officeDocument/2006/relationships/theme" Target="/xl/theme/theme1.xml" Id="R20c130f939da49ea" /><Relationship Type="http://schemas.openxmlformats.org/officeDocument/2006/relationships/sharedStrings" Target="/xl/sharedStrings.xml" Id="R913938aca34543c3" /><Relationship Type="http://schemas.openxmlformats.org/officeDocument/2006/relationships/worksheet" Target="/xl/worksheets/sheet1.xml" Id="Rc8e94585bd8e490b" /><Relationship Type="http://schemas.openxmlformats.org/officeDocument/2006/relationships/worksheet" Target="/xl/worksheets/sheet2.xml" Id="R8aae50155603463c" /><Relationship Type="http://schemas.openxmlformats.org/officeDocument/2006/relationships/worksheet" Target="/xl/worksheets/sheet3.xml" Id="Rda2a3267ca254fea" /><Relationship Type="http://schemas.openxmlformats.org/officeDocument/2006/relationships/worksheet" Target="/xl/worksheets/sheet4.xml" Id="R3962005fdc2445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98922a80544564" /><Relationship Type="http://schemas.openxmlformats.org/officeDocument/2006/relationships/chart" Target="/xl/drawings/charts/chart2.xml" Id="R79db9e37d1fe4e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8월 등급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센터 수</c:v>
          </c:tx>
          <c:cat>
            <c:strRef>
              <c:f>'Dashboard'!$T$6:$T$9</c:f>
              <c:strCache>
                <c:ptCount val="0"/>
              </c:strCache>
            </c:strRef>
          </c:cat>
          <c:val>
            <c:numRef>
              <c:f>'Dashboard'!$U$6:$U$9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센터별 6월·8월 합계점수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6월 점수</c:v>
          </c:tx>
          <c:cat>
            <c:strRef>
              <c:f>'Dashboard'!$T$13:$T$28</c:f>
              <c:strCache>
                <c:ptCount val="0"/>
              </c:strCache>
            </c:strRef>
          </c:cat>
          <c:val>
            <c:numRef>
              <c:f>'Dashboard'!$U$13:$U$28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8월 점수</c:v>
          </c:tx>
          <c:cat>
            <c:strRef>
              <c:f>'Dashboard'!$T$13:$T$28</c:f>
              <c:strCache>
                <c:ptCount val="0"/>
              </c:strCache>
            </c:strRef>
          </c:cat>
          <c:val>
            <c:numRef>
              <c:f>'Dashboard'!$V$13:$V$28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98922a80544564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db9e37d1fe4e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b7768eeb4542c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9" hidden="0" customWidth="1"/>
    <x:col min="4" max="4" width="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129"/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30"/>
      <x:c r="U1" s="130"/>
      <x:c r="V1" s="130"/>
    </x:row>
    <x:row r="2">
      <x:c r="A2" s="131" t="str">
        <x:v>2026년 16개 센터 실적관리 대시보드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</x:row>
    <x:row r="3">
      <x:c r="A3" s="132" t="str">
        <x:v>8월 말 기준. 2027년 사업제안 전 등급 방어·상향과 주간 실행관리에 사용</x:v>
      </x:c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  <x:c r="N4" s="133"/>
      <x:c r="O4" s="133"/>
      <x:c r="P4" s="129"/>
      <x:c r="Q4" s="129"/>
      <x:c r="R4" s="129"/>
      <x:c r="S4" s="129"/>
      <x:c r="T4" s="129"/>
      <x:c r="U4" s="129"/>
      <x:c r="V4" s="129"/>
    </x:row>
    <x:row r="5">
      <x:c r="A5" s="91" t="str">
        <x:v>전체 센터</x:v>
      </x:c>
      <x:c r="B5" s="83"/>
      <x:c r="C5" s="84"/>
      <x:c r="D5" s="129"/>
      <x:c r="E5" s="91" t="str">
        <x:v>현재 A·B</x:v>
      </x:c>
      <x:c r="F5" s="83"/>
      <x:c r="G5" s="84"/>
      <x:c r="H5" s="129"/>
      <x:c r="I5" s="91" t="str">
        <x:v>목표등급 충족</x:v>
      </x:c>
      <x:c r="J5" s="83"/>
      <x:c r="K5" s="84"/>
      <x:c r="L5" s="129"/>
      <x:c r="M5" s="91" t="str">
        <x:v>위험 센터</x:v>
      </x:c>
      <x:c r="N5" s="83"/>
      <x:c r="O5" s="84"/>
      <x:c r="P5" s="129"/>
      <x:c r="Q5" s="129"/>
      <x:c r="R5" s="129"/>
      <x:c r="S5" s="129"/>
      <x:c r="T5" s="129" t="str">
        <x:v>등급</x:v>
      </x:c>
      <x:c r="U5" s="129" t="str">
        <x:v>센터 수</x:v>
      </x:c>
      <x:c r="V5" s="129"/>
    </x:row>
    <x:row r="6">
      <x:c r="A6" s="93" t="n">
        <x:f>COUNTA('Center Detail'!A2:A17)</x:f>
        <x:v>16</x:v>
      </x:c>
      <x:c r="B6" s="86"/>
      <x:c r="C6" s="87"/>
      <x:c r="D6" s="129"/>
      <x:c r="E6" s="93" t="n">
        <x:f>COUNTIF('Center Detail'!M2:M17,"A")+COUNTIF('Center Detail'!M2:M17,"B")</x:f>
        <x:v>5</x:v>
      </x:c>
      <x:c r="F6" s="86"/>
      <x:c r="G6" s="87"/>
      <x:c r="H6" s="129"/>
      <x:c r="I6" s="93" t="n">
        <x:f>COUNTIF('Center Detail'!O2:O17,0)</x:f>
        <x:v>4</x:v>
      </x:c>
      <x:c r="J6" s="86"/>
      <x:c r="K6" s="87"/>
      <x:c r="L6" s="129"/>
      <x:c r="M6" s="93" t="n">
        <x:f>COUNTIF('Center Detail'!P2:P17,"위험")</x:f>
        <x:v>8</x:v>
      </x:c>
      <x:c r="N6" s="86"/>
      <x:c r="O6" s="87"/>
      <x:c r="P6" s="129"/>
      <x:c r="Q6" s="129"/>
      <x:c r="R6" s="129"/>
      <x:c r="S6" s="129"/>
      <x:c r="T6" s="129" t="str">
        <x:v>A</x:v>
      </x:c>
      <x:c r="U6" s="129" t="n">
        <x:f>COUNTIF('Center Detail'!M2:M17,T6)</x:f>
        <x:v>1</x:v>
      </x:c>
      <x:c r="V6" s="129"/>
    </x:row>
    <x:row r="7">
      <x:c r="A7" s="88"/>
      <x:c r="B7" s="89"/>
      <x:c r="C7" s="90"/>
      <x:c r="D7" s="129"/>
      <x:c r="E7" s="88"/>
      <x:c r="F7" s="89"/>
      <x:c r="G7" s="90"/>
      <x:c r="H7" s="129"/>
      <x:c r="I7" s="88"/>
      <x:c r="J7" s="89"/>
      <x:c r="K7" s="90"/>
      <x:c r="L7" s="129"/>
      <x:c r="M7" s="88"/>
      <x:c r="N7" s="89"/>
      <x:c r="O7" s="90"/>
      <x:c r="P7" s="129"/>
      <x:c r="Q7" s="129"/>
      <x:c r="R7" s="129"/>
      <x:c r="S7" s="129"/>
      <x:c r="T7" s="129" t="str">
        <x:v>B</x:v>
      </x:c>
      <x:c r="U7" s="129" t="n">
        <x:f>COUNTIF('Center Detail'!M2:M17,T7)</x:f>
        <x:v>4</x:v>
      </x:c>
      <x:c r="V7" s="129"/>
    </x:row>
    <x:row r="8">
      <x:c r="A8" s="129"/>
      <x:c r="B8" s="129"/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 t="str">
        <x:v>C</x:v>
      </x:c>
      <x:c r="U8" s="129" t="n">
        <x:f>COUNTIF('Center Detail'!M2:M17,T8)</x:f>
        <x:v>7</x:v>
      </x:c>
      <x:c r="V8" s="129"/>
    </x:row>
    <x:row r="9">
      <x:c r="A9" s="91" t="str">
        <x:v>평균 점수 증감</x:v>
      </x:c>
      <x:c r="B9" s="83"/>
      <x:c r="C9" s="84"/>
      <x:c r="D9" s="129"/>
      <x:c r="E9" s="91" t="str">
        <x:v>평균 순위 개선</x:v>
      </x:c>
      <x:c r="F9" s="83"/>
      <x:c r="G9" s="84"/>
      <x:c r="H9" s="129"/>
      <x:c r="I9" s="91" t="str">
        <x:v>취업률 60% 이상</x:v>
      </x:c>
      <x:c r="J9" s="83"/>
      <x:c r="K9" s="84"/>
      <x:c r="L9" s="129"/>
      <x:c r="M9" s="91" t="str">
        <x:v>알선취업률 10% 이상</x:v>
      </x:c>
      <x:c r="N9" s="83"/>
      <x:c r="O9" s="84"/>
      <x:c r="P9" s="129"/>
      <x:c r="Q9" s="129"/>
      <x:c r="R9" s="129"/>
      <x:c r="S9" s="129"/>
      <x:c r="T9" s="129" t="str">
        <x:v>D</x:v>
      </x:c>
      <x:c r="U9" s="129" t="n">
        <x:f>COUNTIF('Center Detail'!M2:M17,T9)</x:f>
        <x:v>4</x:v>
      </x:c>
      <x:c r="V9" s="129"/>
    </x:row>
    <x:row r="10">
      <x:c r="A10" s="94" t="n">
        <x:f>AVERAGE('Center Detail'!H2:H17)</x:f>
        <x:v>-0.12568750000000062</x:v>
      </x:c>
      <x:c r="B10" s="86"/>
      <x:c r="C10" s="87"/>
      <x:c r="D10" s="129"/>
      <x:c r="E10" s="95" t="n">
        <x:f>AVERAGE('Center Detail'!K2:K17)</x:f>
        <x:v>7.875</x:v>
      </x:c>
      <x:c r="F10" s="86"/>
      <x:c r="G10" s="87"/>
      <x:c r="H10" s="129"/>
      <x:c r="I10" s="93" t="n">
        <x:f>COUNTIF('Center Detail'!R2:R17,"&gt;=0.6")</x:f>
        <x:v>5</x:v>
      </x:c>
      <x:c r="J10" s="86"/>
      <x:c r="K10" s="87"/>
      <x:c r="L10" s="129"/>
      <x:c r="M10" s="93" t="n">
        <x:f>COUNTIF('Center Detail'!S2:S17,"&gt;=0.1")</x:f>
        <x:v>6</x:v>
      </x:c>
      <x:c r="N10" s="86"/>
      <x:c r="O10" s="87"/>
      <x:c r="P10" s="129"/>
      <x:c r="Q10" s="129"/>
      <x:c r="R10" s="129"/>
      <x:c r="S10" s="129"/>
      <x:c r="T10" s="129"/>
      <x:c r="U10" s="129"/>
      <x:c r="V10" s="129"/>
    </x:row>
    <x:row r="11">
      <x:c r="A11" s="88"/>
      <x:c r="B11" s="89"/>
      <x:c r="C11" s="90"/>
      <x:c r="D11" s="129"/>
      <x:c r="E11" s="88"/>
      <x:c r="F11" s="89"/>
      <x:c r="G11" s="90"/>
      <x:c r="H11" s="129"/>
      <x:c r="I11" s="88"/>
      <x:c r="J11" s="89"/>
      <x:c r="K11" s="90"/>
      <x:c r="L11" s="129"/>
      <x:c r="M11" s="88"/>
      <x:c r="N11" s="89"/>
      <x:c r="O11" s="90"/>
      <x:c r="P11" s="129"/>
      <x:c r="Q11" s="129"/>
      <x:c r="R11" s="129"/>
      <x:c r="S11" s="129"/>
      <x:c r="T11" s="129"/>
      <x:c r="U11" s="129"/>
      <x:c r="V11" s="129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 t="str">
        <x:v>센터</x:v>
      </x:c>
      <x:c r="U12" s="129" t="str">
        <x:v>6월 점수</x:v>
      </x:c>
      <x:c r="V12" s="129" t="str">
        <x:v>8월 점수</x:v>
      </x:c>
    </x:row>
    <x:row r="13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 t="str">
        <x:v>서울</x:v>
      </x:c>
      <x:c r="U13" s="134" t="n">
        <x:v>51.749</x:v>
      </x:c>
      <x:c r="V13" s="134" t="n">
        <x:v>48.48</x:v>
      </x:c>
    </x:row>
    <x:row r="14">
      <x:c r="A14" s="129"/>
      <x:c r="B14" s="129"/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 t="str">
        <x:v>성남</x:v>
      </x:c>
      <x:c r="U14" s="134" t="n">
        <x:v>45.681</x:v>
      </x:c>
      <x:c r="V14" s="134" t="n">
        <x:v>45.679</x:v>
      </x:c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 t="str">
        <x:v>청주</x:v>
      </x:c>
      <x:c r="U15" s="134" t="n">
        <x:v>46.597</x:v>
      </x:c>
      <x:c r="V15" s="134" t="n">
        <x:v>45.617</x:v>
      </x:c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 t="str">
        <x:v>구미</x:v>
      </x:c>
      <x:c r="U16" s="134" t="n">
        <x:v>45.01</x:v>
      </x:c>
      <x:c r="V16" s="134" t="n">
        <x:v>44.839</x:v>
      </x:c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 t="str">
        <x:v>인천북부</x:v>
      </x:c>
      <x:c r="U17" s="134" t="n">
        <x:v>44.919</x:v>
      </x:c>
      <x:c r="V17" s="134" t="n">
        <x:v>44.703</x:v>
      </x:c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 t="str">
        <x:v>광주</x:v>
      </x:c>
      <x:c r="U18" s="134" t="n">
        <x:v>43.466</x:v>
      </x:c>
      <x:c r="V18" s="134" t="n">
        <x:v>43.568</x:v>
      </x:c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 t="str">
        <x:v>부천</x:v>
      </x:c>
      <x:c r="U19" s="134" t="n">
        <x:v>43.187</x:v>
      </x:c>
      <x:c r="V19" s="134" t="n">
        <x:v>43.223</x:v>
      </x:c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 t="str">
        <x:v>서울동부</x:v>
      </x:c>
      <x:c r="U20" s="134" t="n">
        <x:v>43.111</x:v>
      </x:c>
      <x:c r="V20" s="134" t="n">
        <x:v>43.047</x:v>
      </x:c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 t="str">
        <x:v>서울남부</x:v>
      </x:c>
      <x:c r="U21" s="134" t="n">
        <x:v>42.692</x:v>
      </x:c>
      <x:c r="V21" s="134" t="n">
        <x:v>42.839</x:v>
      </x:c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 t="str">
        <x:v>구로</x:v>
      </x:c>
      <x:c r="U22" s="134" t="n">
        <x:v>42.433</x:v>
      </x:c>
      <x:c r="V22" s="134" t="n">
        <x:v>42.592</x:v>
      </x:c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 t="str">
        <x:v>대구동부</x:v>
      </x:c>
      <x:c r="U23" s="134" t="n">
        <x:v>41.911</x:v>
      </x:c>
      <x:c r="V23" s="134" t="n">
        <x:v>43.059</x:v>
      </x:c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 t="str">
        <x:v>부산동부</x:v>
      </x:c>
      <x:c r="U24" s="134" t="n">
        <x:v>41.753</x:v>
      </x:c>
      <x:c r="V24" s="134" t="n">
        <x:v>42.797</x:v>
      </x:c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 t="str">
        <x:v>고양</x:v>
      </x:c>
      <x:c r="U25" s="134" t="n">
        <x:v>41.927</x:v>
      </x:c>
      <x:c r="V25" s="134" t="n">
        <x:v>42.292</x:v>
      </x:c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 t="str">
        <x:v>전주</x:v>
      </x:c>
      <x:c r="U26" s="134" t="n">
        <x:v>42.129</x:v>
      </x:c>
      <x:c r="V26" s="134" t="n">
        <x:v>41.931</x:v>
      </x:c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 t="str">
        <x:v>천안</x:v>
      </x:c>
      <x:c r="U27" s="134" t="n">
        <x:v>40.954</x:v>
      </x:c>
      <x:c r="V27" s="134" t="n">
        <x:v>40.661</x:v>
      </x:c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 t="str">
        <x:v>서영사무소</x:v>
      </x:c>
      <x:c r="U28" s="134" t="n">
        <x:v>37.932</x:v>
      </x:c>
      <x:c r="V28" s="134" t="n">
        <x:v>38.113</x:v>
      </x:c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</x:row>
    <x:row r="31">
      <x:c r="A31" s="34" t="str">
        <x:v>우선관리 센터</x:v>
      </x:c>
      <x:c r="B31" s="34" t="str">
        <x:v>8월 등급</x:v>
      </x:c>
      <x:c r="C31" s="34" t="str">
        <x:v>목표</x:v>
      </x:c>
      <x:c r="D31" s="34" t="str">
        <x:v>점수 차이</x:v>
      </x:c>
      <x:c r="E31" s="34" t="str">
        <x:v>취업률</x:v>
      </x:c>
      <x:c r="F31" s="34" t="str">
        <x:v>알선취업률</x:v>
      </x:c>
      <x:c r="G31" s="34" t="str">
        <x:v>관리 구간</x:v>
      </x:c>
      <x:c r="H31" s="34" t="str">
        <x:v>핵심 조치</x:v>
      </x:c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</x:row>
    <x:row r="32" ht="32" customHeight="1">
      <x:c r="A32" s="35" t="str">
        <x:f>'Center Detail'!A17</x:f>
        <x:v>서영사무소</x:v>
      </x:c>
      <x:c r="B32" s="36" t="str">
        <x:f>'Center Detail'!M17</x:f>
        <x:v>D</x:v>
      </x:c>
      <x:c r="C32" s="36" t="str">
        <x:f>'Center Detail'!N17</x:f>
        <x:v>C</x:v>
      </x:c>
      <x:c r="D32" s="38" t="n">
        <x:f>'Center Detail'!O17</x:f>
        <x:v>4.245566545829497</x:v>
      </x:c>
      <x:c r="E32" s="39" t="n">
        <x:f>'Center Detail'!R17</x:f>
        <x:v>0.428</x:v>
      </x:c>
      <x:c r="F32" s="39" t="n">
        <x:f>'Center Detail'!S17</x:f>
        <x:v>0.034</x:v>
      </x:c>
      <x:c r="G32" s="36" t="str">
        <x:f>'Center Detail'!Q17</x:f>
        <x:v>구조개선</x:v>
      </x:c>
      <x:c r="H32" s="41" t="str">
        <x:f>'Center Detail'!AC17</x:f>
        <x:v>본사 개입형 취업·알선 파이프라인 주간 운영</x:v>
      </x:c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</x:row>
    <x:row r="33" ht="32" customHeight="1">
      <x:c r="A33" s="35" t="str">
        <x:f>'Center Detail'!A16</x:f>
        <x:v>천안</x:v>
      </x:c>
      <x:c r="B33" s="36" t="str">
        <x:f>'Center Detail'!M16</x:f>
        <x:v>D</x:v>
      </x:c>
      <x:c r="C33" s="36" t="str">
        <x:f>'Center Detail'!N16</x:f>
        <x:v>C</x:v>
      </x:c>
      <x:c r="D33" s="38" t="n">
        <x:f>'Center Detail'!O16</x:f>
        <x:v>1.6975665458294955</x:v>
      </x:c>
      <x:c r="E33" s="39" t="n">
        <x:f>'Center Detail'!R16</x:f>
        <x:v>0.501</x:v>
      </x:c>
      <x:c r="F33" s="39" t="n">
        <x:f>'Center Detail'!S16</x:f>
        <x:v>0.074</x:v>
      </x:c>
      <x:c r="G33" s="36" t="str">
        <x:f>'Center Detail'!Q16</x:f>
        <x:v>구조개선</x:v>
      </x:c>
      <x:c r="H33" s="41" t="str">
        <x:f>'Center Detail'!AC16</x:f>
        <x:v>해외취업 인정 확인, 취업자 구조개선 집중</x:v>
      </x:c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</x:row>
    <x:row r="34" ht="32" customHeight="1">
      <x:c r="A34" s="35" t="str">
        <x:f>'Center Detail'!A14</x:f>
        <x:v>고양</x:v>
      </x:c>
      <x:c r="B34" s="36" t="str">
        <x:f>'Center Detail'!M14</x:f>
        <x:v>D</x:v>
      </x:c>
      <x:c r="C34" s="36" t="str">
        <x:f>'Center Detail'!N14</x:f>
        <x:v>B</x:v>
      </x:c>
      <x:c r="D34" s="38" t="n">
        <x:f>'Center Detail'!O14</x:f>
        <x:v>1.3770651278640997</x:v>
      </x:c>
      <x:c r="E34" s="39" t="n">
        <x:f>'Center Detail'!R14</x:f>
        <x:v>0.537</x:v>
      </x:c>
      <x:c r="F34" s="39" t="n">
        <x:f>'Center Detail'!S14</x:f>
        <x:v>0.093</x:v>
      </x:c>
      <x:c r="G34" s="36" t="str">
        <x:f>'Center Detail'!Q14</x:f>
        <x:v>집중관리</x:v>
      </x:c>
      <x:c r="H34" s="41" t="str">
        <x:f>'Center Detail'!AC14</x:f>
        <x:v>먼저 C 경계 돌파, 취업자 집중 발굴과 연계 2점</x:v>
      </x:c>
      <x:c r="I34" s="129"/>
      <x:c r="J34" s="135" t="str">
        <x:v>경영진 판단</x:v>
      </x:c>
      <x:c r="K34" s="136"/>
      <x:c r="L34" s="136"/>
      <x:c r="M34" s="136"/>
      <x:c r="N34" s="136"/>
      <x:c r="O34" s="136"/>
      <x:c r="P34" s="136"/>
      <x:c r="Q34" s="136"/>
      <x:c r="R34" s="137"/>
      <x:c r="S34" s="129"/>
      <x:c r="T34" s="129"/>
      <x:c r="U34" s="129"/>
      <x:c r="V34" s="129"/>
    </x:row>
    <x:row r="35" ht="28" customHeight="1">
      <x:c r="A35" s="35" t="str">
        <x:f>'Center Detail'!A11</x:f>
        <x:v>구로</x:v>
      </x:c>
      <x:c r="B35" s="36" t="str">
        <x:f>'Center Detail'!M11</x:f>
        <x:v>C</x:v>
      </x:c>
      <x:c r="C35" s="36" t="str">
        <x:f>'Center Detail'!N11</x:f>
        <x:v>B</x:v>
      </x:c>
      <x:c r="D35" s="38" t="n">
        <x:f>'Center Detail'!O11</x:f>
        <x:v>1.0770651278641026</x:v>
      </x:c>
      <x:c r="E35" s="39" t="n">
        <x:f>'Center Detail'!R11</x:f>
        <x:v>0.574</x:v>
      </x:c>
      <x:c r="F35" s="39" t="n">
        <x:f>'Center Detail'!S11</x:f>
        <x:v>0.037</x:v>
      </x:c>
      <x:c r="G35" s="36" t="str">
        <x:f>'Center Detail'!Q11</x:f>
        <x:v>집중관리</x:v>
      </x:c>
      <x:c r="H35" s="41" t="str">
        <x:f>'Center Detail'!AC11</x:f>
        <x:v>본사 알선지원, 단독기관 연계실적 동시 확보</x:v>
      </x:c>
      <x:c r="I35" s="129"/>
      <x:c r="J35" s="118" t="str">
        <x:v>1. 8월 등급은 D 6개에서 4개로 개선됐지만 A·B는 5개로 동일합니다.</x:v>
      </x:c>
      <x:c r="K35" s="119"/>
      <x:c r="L35" s="119"/>
      <x:c r="M35" s="119"/>
      <x:c r="N35" s="119"/>
      <x:c r="O35" s="119"/>
      <x:c r="P35" s="119"/>
      <x:c r="Q35" s="119"/>
      <x:c r="R35" s="120"/>
      <x:c r="S35" s="129"/>
      <x:c r="T35" s="129"/>
      <x:c r="U35" s="129"/>
      <x:c r="V35" s="129"/>
    </x:row>
    <x:row r="36" ht="28" customHeight="1">
      <x:c r="A36" s="35" t="str">
        <x:f>'Center Detail'!A13</x:f>
        <x:v>부산동부</x:v>
      </x:c>
      <x:c r="B36" s="36" t="str">
        <x:f>'Center Detail'!M13</x:f>
        <x:v>C</x:v>
      </x:c>
      <x:c r="C36" s="36" t="str">
        <x:f>'Center Detail'!N13</x:f>
        <x:v>B</x:v>
      </x:c>
      <x:c r="D36" s="38" t="n">
        <x:f>'Center Detail'!O13</x:f>
        <x:v>0.8720651278641043</x:v>
      </x:c>
      <x:c r="E36" s="39" t="n">
        <x:f>'Center Detail'!R13</x:f>
        <x:v>0.582</x:v>
      </x:c>
      <x:c r="F36" s="39" t="n">
        <x:f>'Center Detail'!S13</x:f>
        <x:v>0.131</x:v>
      </x:c>
      <x:c r="G36" s="36" t="str">
        <x:f>'Center Detail'!Q13</x:f>
        <x:v>집중관리</x:v>
      </x:c>
      <x:c r="H36" s="41" t="str">
        <x:f>'Center Detail'!AC13</x:f>
        <x:v>취업률 60%, 연계 2점 이상, 유지 증빙 점검</x:v>
      </x:c>
      <x:c r="I36" s="129"/>
      <x:c r="J36" s="121" t="str">
        <x:v>2. 16개 중 취업률 60% 이상 5개, 알선취업률 10% 이상 6개입니다.</x:v>
      </x:c>
      <x:c r="K36" s="122"/>
      <x:c r="L36" s="122"/>
      <x:c r="M36" s="122"/>
      <x:c r="N36" s="122"/>
      <x:c r="O36" s="122"/>
      <x:c r="P36" s="122"/>
      <x:c r="Q36" s="122"/>
      <x:c r="R36" s="123"/>
      <x:c r="S36" s="129"/>
      <x:c r="T36" s="129"/>
      <x:c r="U36" s="129"/>
      <x:c r="V36" s="129"/>
    </x:row>
    <x:row r="37" ht="28" customHeight="1">
      <x:c r="A37" s="35" t="str">
        <x:f>'Center Detail'!A10</x:f>
        <x:v>서울남부</x:v>
      </x:c>
      <x:c r="B37" s="36" t="str">
        <x:f>'Center Detail'!M10</x:f>
        <x:v>C</x:v>
      </x:c>
      <x:c r="C37" s="36" t="str">
        <x:f>'Center Detail'!N10</x:f>
        <x:v>B</x:v>
      </x:c>
      <x:c r="D37" s="38" t="n">
        <x:f>'Center Detail'!O10</x:f>
        <x:v>0.8300651278641027</x:v>
      </x:c>
      <x:c r="E37" s="39" t="n">
        <x:f>'Center Detail'!R10</x:f>
        <x:v>0.583</x:v>
      </x:c>
      <x:c r="F37" s="39" t="n">
        <x:f>'Center Detail'!S10</x:f>
        <x:v>0.047</x:v>
      </x:c>
      <x:c r="G37" s="36" t="str">
        <x:f>'Center Detail'!Q10</x:f>
        <x:v>집중관리</x:v>
      </x:c>
      <x:c r="H37" s="41" t="str">
        <x:f>'Center Detail'!AC10</x:f>
        <x:v>직접알선 확대, 유지 증빙과 컨소 책임목표 확정</x:v>
      </x:c>
      <x:c r="I37" s="129"/>
      <x:c r="J37" s="121" t="str">
        <x:v>3. 광주·성남·부천·대구동부·서울동부는 목표등급 경계에 가깝습니다.</x:v>
      </x:c>
      <x:c r="K37" s="122"/>
      <x:c r="L37" s="122"/>
      <x:c r="M37" s="122"/>
      <x:c r="N37" s="122"/>
      <x:c r="O37" s="122"/>
      <x:c r="P37" s="122"/>
      <x:c r="Q37" s="122"/>
      <x:c r="R37" s="123"/>
      <x:c r="S37" s="129"/>
      <x:c r="T37" s="129"/>
      <x:c r="U37" s="129"/>
      <x:c r="V37" s="129"/>
    </x:row>
    <x:row r="38" ht="28" customHeight="1">
      <x:c r="A38" s="35" t="str">
        <x:f>'Center Detail'!A9</x:f>
        <x:v>서울동부</x:v>
      </x:c>
      <x:c r="B38" s="36" t="str">
        <x:f>'Center Detail'!M9</x:f>
        <x:v>C</x:v>
      </x:c>
      <x:c r="C38" s="36" t="str">
        <x:f>'Center Detail'!N9</x:f>
        <x:v>B</x:v>
      </x:c>
      <x:c r="D38" s="38" t="n">
        <x:f>'Center Detail'!O9</x:f>
        <x:v>0.6220651278641043</x:v>
      </x:c>
      <x:c r="E38" s="39" t="n">
        <x:f>'Center Detail'!R9</x:f>
        <x:v>0.583</x:v>
      </x:c>
      <x:c r="F38" s="39" t="n">
        <x:f>'Center Detail'!S9</x:f>
        <x:v>0.046</x:v>
      </x:c>
      <x:c r="G38" s="36" t="str">
        <x:f>'Center Detail'!Q9</x:f>
        <x:v>집중관리</x:v>
      </x:c>
      <x:c r="H38" s="41" t="str">
        <x:f>'Center Detail'!AC9</x:f>
        <x:v>가점 2점, 만족도, 파트너 역할별 알선실적 관리</x:v>
      </x:c>
      <x:c r="I38" s="129"/>
      <x:c r="J38" s="121" t="str">
        <x:v>4. 천안·고양은 2025년 대비 등급 하락폭이 커 본사 개입이 필요합니다.</x:v>
      </x:c>
      <x:c r="K38" s="122"/>
      <x:c r="L38" s="122"/>
      <x:c r="M38" s="122"/>
      <x:c r="N38" s="122"/>
      <x:c r="O38" s="122"/>
      <x:c r="P38" s="122"/>
      <x:c r="Q38" s="122"/>
      <x:c r="R38" s="123"/>
      <x:c r="S38" s="129"/>
      <x:c r="T38" s="129"/>
      <x:c r="U38" s="129"/>
      <x:c r="V38" s="129"/>
    </x:row>
    <x:row r="39" ht="28" customHeight="1">
      <x:c r="A39" s="42" t="str">
        <x:f>'Center Detail'!A15</x:f>
        <x:v>전주</x:v>
      </x:c>
      <x:c r="B39" s="43" t="str">
        <x:f>'Center Detail'!M15</x:f>
        <x:v>D</x:v>
      </x:c>
      <x:c r="C39" s="43" t="str">
        <x:f>'Center Detail'!N15</x:f>
        <x:v>C</x:v>
      </x:c>
      <x:c r="D39" s="45" t="n">
        <x:f>'Center Detail'!O15</x:f>
        <x:v>0.4275665458294995</x:v>
      </x:c>
      <x:c r="E39" s="46" t="n">
        <x:f>'Center Detail'!R15</x:f>
        <x:v>0.553</x:v>
      </x:c>
      <x:c r="F39" s="46" t="n">
        <x:f>'Center Detail'!S15</x:f>
        <x:v>0.054</x:v>
      </x:c>
      <x:c r="G39" s="43" t="str">
        <x:f>'Center Detail'!Q15</x:f>
        <x:v>즉시 승급권</x:v>
      </x:c>
      <x:c r="H39" s="48" t="str">
        <x:f>'Center Detail'!AC15</x:f>
        <x:v>직접알선과 취업자를 동시 확대, 연계실적 확정</x:v>
      </x:c>
      <x:c r="I39" s="129"/>
      <x:c r="J39" s="124" t="str">
        <x:v>5. 서영사무소는 가점만으로 목표달성이 어려워 취업·알선 구조개선이 필요합니다.</x:v>
      </x:c>
      <x:c r="K39" s="125"/>
      <x:c r="L39" s="125"/>
      <x:c r="M39" s="125"/>
      <x:c r="N39" s="125"/>
      <x:c r="O39" s="125"/>
      <x:c r="P39" s="125"/>
      <x:c r="Q39" s="125"/>
      <x:c r="R39" s="126"/>
      <x:c r="S39" s="129"/>
      <x:c r="T39" s="129"/>
      <x:c r="U39" s="129"/>
      <x:c r="V39" s="129"/>
    </x:row>
  </x:sheetData>
  <x:mergeCells>
    <x:mergeCell ref="A5:C5"/>
    <x:mergeCell ref="A6:C7"/>
    <x:mergeCell ref="E5:G5"/>
    <x:mergeCell ref="E6:G7"/>
    <x:mergeCell ref="I5:K5"/>
    <x:mergeCell ref="I6:K7"/>
    <x:mergeCell ref="M5:O5"/>
    <x:mergeCell ref="M6:O7"/>
    <x:mergeCell ref="A9:C9"/>
    <x:mergeCell ref="A10:C11"/>
    <x:mergeCell ref="E9:G9"/>
    <x:mergeCell ref="E10:G11"/>
    <x:mergeCell ref="I9:K9"/>
    <x:mergeCell ref="I10:K11"/>
    <x:mergeCell ref="M9:O9"/>
    <x:mergeCell ref="M10:O11"/>
    <x:mergeCell ref="J34:R34"/>
    <x:mergeCell ref="J35:R35"/>
    <x:mergeCell ref="J36:R36"/>
    <x:mergeCell ref="J37:R37"/>
    <x:mergeCell ref="J38:R38"/>
    <x:mergeCell ref="J39:R39"/>
  </x:mergeCells>
  <x:pageMargins left="0.7" right="0.7" top="0.75" bottom="0.75" header="0.3" footer="0.3"/>
  <x:drawing xmlns:r="http://schemas.openxmlformats.org/officeDocument/2006/relationships" r:id="R8eb7768eeb4542c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24" hidden="0" customWidth="1"/>
    <x:col min="29" max="29" width="42" hidden="0" customWidth="1"/>
    <x:col min="30" max="30" width="32" hidden="0" customWidth="1"/>
  </x:cols>
  <x:sheetData>
    <x:row r="1">
      <x:c r="A1" s="34" t="str">
        <x:v>센터</x:v>
      </x:c>
      <x:c r="B1" s="34" t="str">
        <x:v>구분</x:v>
      </x:c>
      <x:c r="C1" s="34" t="str">
        <x:v>2025 등급</x:v>
      </x:c>
      <x:c r="D1" s="34" t="str">
        <x:v>2025 순위</x:v>
      </x:c>
      <x:c r="E1" s="34" t="str">
        <x:v>2025 총점</x:v>
      </x:c>
      <x:c r="F1" s="34" t="str">
        <x:v>6월 점수</x:v>
      </x:c>
      <x:c r="G1" s="34" t="str">
        <x:v>8월 점수</x:v>
      </x:c>
      <x:c r="H1" s="34" t="str">
        <x:v>점수 증감</x:v>
      </x:c>
      <x:c r="I1" s="34" t="str">
        <x:v>6월 순위</x:v>
      </x:c>
      <x:c r="J1" s="34" t="str">
        <x:v>8월 순위</x:v>
      </x:c>
      <x:c r="K1" s="34" t="str">
        <x:v>순위 개선</x:v>
      </x:c>
      <x:c r="L1" s="34" t="str">
        <x:v>6월 등급</x:v>
      </x:c>
      <x:c r="M1" s="34" t="str">
        <x:v>8월 등급</x:v>
      </x:c>
      <x:c r="N1" s="34" t="str">
        <x:v>목표 등급</x:v>
      </x:c>
      <x:c r="O1" s="34" t="str">
        <x:v>목표등급 차이</x:v>
      </x:c>
      <x:c r="P1" s="34" t="str">
        <x:v>원본 위험도</x:v>
      </x:c>
      <x:c r="Q1" s="34" t="str">
        <x:v>관리 구간</x:v>
      </x:c>
      <x:c r="R1" s="34" t="str">
        <x:v>취업률</x:v>
      </x:c>
      <x:c r="S1" s="34" t="str">
        <x:v>알선취업률</x:v>
      </x:c>
      <x:c r="T1" s="34" t="str">
        <x:v>조기취업률</x:v>
      </x:c>
      <x:c r="U1" s="34" t="str">
        <x:v>고임금률</x:v>
      </x:c>
      <x:c r="V1" s="34" t="str">
        <x:v>고용유지율</x:v>
      </x:c>
      <x:c r="W1" s="34" t="str">
        <x:v>취업 점수</x:v>
      </x:c>
      <x:c r="X1" s="34" t="str">
        <x:v>알선 점수</x:v>
      </x:c>
      <x:c r="Y1" s="34" t="str">
        <x:v>조기 점수</x:v>
      </x:c>
      <x:c r="Z1" s="34" t="str">
        <x:v>고임금 점수</x:v>
      </x:c>
      <x:c r="AA1" s="34" t="str">
        <x:v>유지 점수</x:v>
      </x:c>
      <x:c r="AB1" s="34" t="str">
        <x:v>중점관리</x:v>
      </x:c>
      <x:c r="AC1" s="34" t="str">
        <x:v>즉시 실행과제</x:v>
      </x:c>
      <x:c r="AD1" s="34" t="str">
        <x:v>2025 매칭 기준</x:v>
      </x:c>
    </x:row>
    <x:row r="2" ht="34" customHeight="1">
      <x:c r="A2" s="35" t="str">
        <x:v>서울</x:v>
      </x:c>
      <x:c r="B2" s="36" t="str">
        <x:v>단독</x:v>
      </x:c>
      <x:c r="C2" s="36" t="str">
        <x:v>비교불가</x:v>
      </x:c>
      <x:c r="D2" s="37"/>
      <x:c r="E2" s="38"/>
      <x:c r="F2" s="38" t="n">
        <x:v>51.749</x:v>
      </x:c>
      <x:c r="G2" s="38" t="n">
        <x:v>48.48</x:v>
      </x:c>
      <x:c r="H2" s="38" t="n">
        <x:f>G2-F2</x:f>
        <x:v>-3.2690000000000055</x:v>
      </x:c>
      <x:c r="I2" s="37" t="n">
        <x:v>12</x:v>
      </x:c>
      <x:c r="J2" s="37" t="n">
        <x:v>21</x:v>
      </x:c>
      <x:c r="K2" s="37" t="n">
        <x:f>I2-J2</x:f>
        <x:v>-9</x:v>
      </x:c>
      <x:c r="L2" s="36" t="str">
        <x:v>A</x:v>
      </x:c>
      <x:c r="M2" s="36" t="str">
        <x:v>A</x:v>
      </x:c>
      <x:c r="N2" s="36" t="str">
        <x:v>A</x:v>
      </x:c>
      <x:c r="O2" s="38" t="n">
        <x:f>MAX(0,IF(N2="A",Sources!$B$11,IF(N2="B",Sources!$B$12,IF(N2="C",Sources!$B$13,Sources!$B$14)))-G2)</x:f>
        <x:v>0</x:v>
      </x:c>
      <x:c r="P2" s="36" t="str">
        <x:v>안전</x:v>
      </x:c>
      <x:c r="Q2" s="36" t="str">
        <x:f>IF(O2=0,"목표 충족",IF(O2&lt;=0.5,"즉시 승급권",IF(O2&lt;=1.5,"집중관리","구조개선")))</x:f>
        <x:v>목표 충족</x:v>
      </x:c>
      <x:c r="R2" s="39" t="n">
        <x:v>0.878</x:v>
      </x:c>
      <x:c r="S2" s="39" t="n">
        <x:v>0.073</x:v>
      </x:c>
      <x:c r="T2" s="39" t="n">
        <x:v>0.585</x:v>
      </x:c>
      <x:c r="U2" s="39" t="n">
        <x:v>0.463</x:v>
      </x:c>
      <x:c r="V2" s="39" t="n">
        <x:v>0.146</x:v>
      </x:c>
      <x:c r="W2" s="38" t="n">
        <x:v>17.811</x:v>
      </x:c>
      <x:c r="X2" s="38" t="n">
        <x:v>11.686</x:v>
      </x:c>
      <x:c r="Y2" s="38" t="n">
        <x:v>6.272</x:v>
      </x:c>
      <x:c r="Z2" s="38" t="n">
        <x:v>6.893</x:v>
      </x:c>
      <x:c r="AA2" s="38" t="n">
        <x:v>5.818</x:v>
      </x:c>
      <x:c r="AB2" s="40" t="str">
        <x:v>알선취업률·연계실적</x:v>
      </x:c>
      <x:c r="AC2" s="40" t="str">
        <x:v>직접알선 2건 이상 확보, 180일 유지 증빙 점검</x:v>
      </x:c>
      <x:c r="AD2" s="41" t="str">
        <x:v>2025 동일 운영단위 확인 불가</x:v>
      </x:c>
    </x:row>
    <x:row r="3" ht="34" customHeight="1">
      <x:c r="A3" s="35" t="str">
        <x:v>성남</x:v>
      </x:c>
      <x:c r="B3" s="36" t="str">
        <x:v>컨소</x:v>
      </x:c>
      <x:c r="C3" s="36" t="str">
        <x:v>A</x:v>
      </x:c>
      <x:c r="D3" s="37" t="n">
        <x:v>34</x:v>
      </x:c>
      <x:c r="E3" s="38" t="n">
        <x:v>57.516</x:v>
      </x:c>
      <x:c r="F3" s="38" t="n">
        <x:v>45.681</x:v>
      </x:c>
      <x:c r="G3" s="38" t="n">
        <x:v>45.679</x:v>
      </x:c>
      <x:c r="H3" s="38" t="n">
        <x:f>G3-F3</x:f>
        <x:v>-0.001999999999995339</x:v>
      </x:c>
      <x:c r="I3" s="37" t="n">
        <x:v>93</x:v>
      </x:c>
      <x:c r="J3" s="37" t="n">
        <x:v>75</x:v>
      </x:c>
      <x:c r="K3" s="37" t="n">
        <x:f>I3-J3</x:f>
        <x:v>18</x:v>
      </x:c>
      <x:c r="L3" s="36" t="str">
        <x:v>B</x:v>
      </x:c>
      <x:c r="M3" s="36" t="str">
        <x:v>B</x:v>
      </x:c>
      <x:c r="N3" s="36" t="str">
        <x:v>A</x:v>
      </x:c>
      <x:c r="O3" s="38" t="n">
        <x:f>MAX(0,IF(N3="A",Sources!$B$11,IF(N3="B",Sources!$B$12,IF(N3="C",Sources!$B$13,Sources!$B$14)))-G3)</x:f>
        <x:v>0.3139350079649006</x:v>
      </x:c>
      <x:c r="P3" s="36" t="str">
        <x:v>안전</x:v>
      </x:c>
      <x:c r="Q3" s="36" t="str">
        <x:f>IF(O3=0,"목표 충족",IF(O3&lt;=0.5,"즉시 승급권",IF(O3&lt;=1.5,"집중관리","구조개선")))</x:f>
        <x:v>즉시 승급권</x:v>
      </x:c>
      <x:c r="R3" s="39" t="n">
        <x:v>0.615</x:v>
      </x:c>
      <x:c r="S3" s="39" t="n">
        <x:v>0.168</x:v>
      </x:c>
      <x:c r="T3" s="39" t="n">
        <x:v>0.162</x:v>
      </x:c>
      <x:c r="U3" s="39" t="n">
        <x:v>0.234</x:v>
      </x:c>
      <x:c r="V3" s="39" t="n">
        <x:v>0.269</x:v>
      </x:c>
      <x:c r="W3" s="38" t="n">
        <x:v>14.901</x:v>
      </x:c>
      <x:c r="X3" s="38" t="n">
        <x:v>13.499</x:v>
      </x:c>
      <x:c r="Y3" s="38" t="n">
        <x:v>4.81</x:v>
      </x:c>
      <x:c r="Z3" s="38" t="n">
        <x:v>5.046</x:v>
      </x:c>
      <x:c r="AA3" s="38" t="n">
        <x:v>7.423</x:v>
      </x:c>
      <x:c r="AB3" s="40" t="str">
        <x:v>A등급 진입·연계점수</x:v>
      </x:c>
      <x:c r="AC3" s="40" t="str">
        <x:v>만족도와 연계점수 확정, 취업률 60% 이상 유지</x:v>
      </x:c>
      <x:c r="AD3" s="41" t="str">
        <x:v>스탭스 성남센터 직접 매칭</x:v>
      </x:c>
    </x:row>
    <x:row r="4" ht="34" customHeight="1">
      <x:c r="A4" s="35" t="str">
        <x:v>청주</x:v>
      </x:c>
      <x:c r="B4" s="36" t="str">
        <x:v>단독</x:v>
      </x:c>
      <x:c r="C4" s="36" t="str">
        <x:v>비교불가</x:v>
      </x:c>
      <x:c r="D4" s="37"/>
      <x:c r="E4" s="38"/>
      <x:c r="F4" s="38" t="n">
        <x:v>46.597</x:v>
      </x:c>
      <x:c r="G4" s="38" t="n">
        <x:v>45.617</x:v>
      </x:c>
      <x:c r="H4" s="38" t="n">
        <x:f>G4-F4</x:f>
        <x:v>-0.980000000000004</x:v>
      </x:c>
      <x:c r="I4" s="37" t="n">
        <x:v>63</x:v>
      </x:c>
      <x:c r="J4" s="37" t="n">
        <x:v>79</x:v>
      </x:c>
      <x:c r="K4" s="37" t="n">
        <x:f>I4-J4</x:f>
        <x:v>-16</x:v>
      </x:c>
      <x:c r="L4" s="36" t="str">
        <x:v>B</x:v>
      </x:c>
      <x:c r="M4" s="36" t="str">
        <x:v>B</x:v>
      </x:c>
      <x:c r="N4" s="36" t="str">
        <x:v>B</x:v>
      </x:c>
      <x:c r="O4" s="38" t="n">
        <x:f>MAX(0,IF(N4="A",Sources!$B$11,IF(N4="B",Sources!$B$12,IF(N4="C",Sources!$B$13,Sources!$B$14)))-G4)</x:f>
        <x:v>0</x:v>
      </x:c>
      <x:c r="P4" s="36" t="str">
        <x:v>위험</x:v>
      </x:c>
      <x:c r="Q4" s="36" t="str">
        <x:f>IF(O4=0,"목표 충족",IF(O4&lt;=0.5,"즉시 승급권",IF(O4&lt;=1.5,"집중관리","구조개선")))</x:f>
        <x:v>목표 충족</x:v>
      </x:c>
      <x:c r="R4" s="39" t="n">
        <x:v>0.944</x:v>
      </x:c>
      <x:c r="S4" s="39" t="n">
        <x:v>0</x:v>
      </x:c>
      <x:c r="T4" s="39" t="n">
        <x:v>0.417</x:v>
      </x:c>
      <x:c r="U4" s="39" t="n">
        <x:v>0.278</x:v>
      </x:c>
      <x:c r="V4" s="39" t="n">
        <x:v>0.111</x:v>
      </x:c>
      <x:c r="W4" s="38" t="n">
        <x:v>18.657</x:v>
      </x:c>
      <x:c r="X4" s="38" t="n">
        <x:v>10.51</x:v>
      </x:c>
      <x:c r="Y4" s="38" t="n">
        <x:v>5.649</x:v>
      </x:c>
      <x:c r="Z4" s="38" t="n">
        <x:v>5.445</x:v>
      </x:c>
      <x:c r="AA4" s="38" t="n">
        <x:v>5.356</x:v>
      </x:c>
      <x:c r="AB4" s="40" t="str">
        <x:v>알선취업률·소표본 변동</x:v>
      </x:c>
      <x:c r="AC4" s="40" t="str">
        <x:v>신규 취업자를 직접알선으로 연결, 알선 2건 우선</x:v>
      </x:c>
      <x:c r="AD4" s="41" t="str">
        <x:v>2025 동일 운영단위 확인 불가</x:v>
      </x:c>
    </x:row>
    <x:row r="5" ht="34" customHeight="1">
      <x:c r="A5" s="35" t="str">
        <x:v>구미</x:v>
      </x:c>
      <x:c r="B5" s="36" t="str">
        <x:v>컨소</x:v>
      </x:c>
      <x:c r="C5" s="36" t="str">
        <x:v>B</x:v>
      </x:c>
      <x:c r="D5" s="37" t="n">
        <x:v>100</x:v>
      </x:c>
      <x:c r="E5" s="38" t="n">
        <x:v>55.138</x:v>
      </x:c>
      <x:c r="F5" s="38" t="n">
        <x:v>45.01</x:v>
      </x:c>
      <x:c r="G5" s="38" t="n">
        <x:v>44.839</x:v>
      </x:c>
      <x:c r="H5" s="38" t="n">
        <x:f>G5-F5</x:f>
        <x:v>-0.17099999999999937</x:v>
      </x:c>
      <x:c r="I5" s="37" t="n">
        <x:v>117</x:v>
      </x:c>
      <x:c r="J5" s="37" t="n">
        <x:v>109</x:v>
      </x:c>
      <x:c r="K5" s="37" t="n">
        <x:f>I5-J5</x:f>
        <x:v>8</x:v>
      </x:c>
      <x:c r="L5" s="36" t="str">
        <x:v>B</x:v>
      </x:c>
      <x:c r="M5" s="36" t="str">
        <x:v>B</x:v>
      </x:c>
      <x:c r="N5" s="36" t="str">
        <x:v>B</x:v>
      </x:c>
      <x:c r="O5" s="38" t="n">
        <x:f>MAX(0,IF(N5="A",Sources!$B$11,IF(N5="B",Sources!$B$12,IF(N5="C",Sources!$B$13,Sources!$B$14)))-G5)</x:f>
        <x:v>0</x:v>
      </x:c>
      <x:c r="P5" s="36" t="str">
        <x:v>안전</x:v>
      </x:c>
      <x:c r="Q5" s="36" t="str">
        <x:f>IF(O5=0,"목표 충족",IF(O5&lt;=0.5,"즉시 승급권",IF(O5&lt;=1.5,"집중관리","구조개선")))</x:f>
        <x:v>목표 충족</x:v>
      </x:c>
      <x:c r="R5" s="39" t="n">
        <x:v>0.586</x:v>
      </x:c>
      <x:c r="S5" s="39" t="n">
        <x:v>0.146</x:v>
      </x:c>
      <x:c r="T5" s="39" t="n">
        <x:v>0.176</x:v>
      </x:c>
      <x:c r="U5" s="39" t="n">
        <x:v>0.246</x:v>
      </x:c>
      <x:c r="V5" s="39" t="n">
        <x:v>0.277</x:v>
      </x:c>
      <x:c r="W5" s="38" t="n">
        <x:v>14.382</x:v>
      </x:c>
      <x:c r="X5" s="38" t="n">
        <x:v>13.103</x:v>
      </x:c>
      <x:c r="Y5" s="38" t="n">
        <x:v>4.885</x:v>
      </x:c>
      <x:c r="Z5" s="38" t="n">
        <x:v>4.931</x:v>
      </x:c>
      <x:c r="AA5" s="38" t="n">
        <x:v>7.537</x:v>
      </x:c>
      <x:c r="AB5" s="40" t="str">
        <x:v>취업률·연계점수</x:v>
      </x:c>
      <x:c r="AC5" s="40" t="str">
        <x:v>취업률 60% 달성, 컨소 연계실적 조기 확정</x:v>
      </x:c>
      <x:c r="AD5" s="41" t="str">
        <x:v>스탭스 구미센터 직접 매칭</x:v>
      </x:c>
    </x:row>
    <x:row r="6" ht="34" customHeight="1">
      <x:c r="A6" s="35" t="str">
        <x:v>인천북부</x:v>
      </x:c>
      <x:c r="B6" s="36" t="str">
        <x:v>컨소</x:v>
      </x:c>
      <x:c r="C6" s="36" t="str">
        <x:v>B</x:v>
      </x:c>
      <x:c r="D6" s="37" t="n">
        <x:v>71</x:v>
      </x:c>
      <x:c r="E6" s="38" t="n">
        <x:v>55.803</x:v>
      </x:c>
      <x:c r="F6" s="38" t="n">
        <x:v>44.919</x:v>
      </x:c>
      <x:c r="G6" s="38" t="n">
        <x:v>44.703</x:v>
      </x:c>
      <x:c r="H6" s="38" t="n">
        <x:f>G6-F6</x:f>
        <x:v>-0.21599999999999397</x:v>
      </x:c>
      <x:c r="I6" s="37" t="n">
        <x:v>121</x:v>
      </x:c>
      <x:c r="J6" s="37" t="n">
        <x:v>119</x:v>
      </x:c>
      <x:c r="K6" s="37" t="n">
        <x:f>I6-J6</x:f>
        <x:v>2</x:v>
      </x:c>
      <x:c r="L6" s="36" t="str">
        <x:v>B</x:v>
      </x:c>
      <x:c r="M6" s="36" t="str">
        <x:v>B</x:v>
      </x:c>
      <x:c r="N6" s="36" t="str">
        <x:v>B</x:v>
      </x:c>
      <x:c r="O6" s="38" t="n">
        <x:f>MAX(0,IF(N6="A",Sources!$B$11,IF(N6="B",Sources!$B$12,IF(N6="C",Sources!$B$13,Sources!$B$14)))-G6)</x:f>
        <x:v>0</x:v>
      </x:c>
      <x:c r="P6" s="36" t="str">
        <x:v>안전</x:v>
      </x:c>
      <x:c r="Q6" s="36" t="str">
        <x:f>IF(O6=0,"목표 충족",IF(O6&lt;=0.5,"즉시 승급권",IF(O6&lt;=1.5,"집중관리","구조개선")))</x:f>
        <x:v>목표 충족</x:v>
      </x:c>
      <x:c r="R6" s="39" t="n">
        <x:v>0.616</x:v>
      </x:c>
      <x:c r="S6" s="39" t="n">
        <x:v>0.104</x:v>
      </x:c>
      <x:c r="T6" s="39" t="n">
        <x:v>0.176</x:v>
      </x:c>
      <x:c r="U6" s="39" t="n">
        <x:v>0.189</x:v>
      </x:c>
      <x:c r="V6" s="39" t="n">
        <x:v>0.258</x:v>
      </x:c>
      <x:c r="W6" s="38" t="n">
        <x:v>15.282</x:v>
      </x:c>
      <x:c r="X6" s="38" t="n">
        <x:v>12.35</x:v>
      </x:c>
      <x:c r="Y6" s="38" t="n">
        <x:v>4.889</x:v>
      </x:c>
      <x:c r="Z6" s="38" t="n">
        <x:v>4.9</x:v>
      </x:c>
      <x:c r="AA6" s="38" t="n">
        <x:v>7.282</x:v>
      </x:c>
      <x:c r="AB6" s="40" t="str">
        <x:v>현재 지표 유지·가점</x:v>
      </x:c>
      <x:c r="AC6" s="40" t="str">
        <x:v>파트너별 실적 누락 점검, 만족도와 연계가점 확보</x:v>
      </x:c>
      <x:c r="AD6" s="41" t="str">
        <x:v>2025 동일 컨소 주관기관 기준</x:v>
      </x:c>
    </x:row>
    <x:row r="7" ht="34" customHeight="1">
      <x:c r="A7" s="35" t="str">
        <x:v>광주</x:v>
      </x:c>
      <x:c r="B7" s="36" t="str">
        <x:v>컨소</x:v>
      </x:c>
      <x:c r="C7" s="36" t="str">
        <x:v>D</x:v>
      </x:c>
      <x:c r="D7" s="37" t="n">
        <x:v>248</x:v>
      </x:c>
      <x:c r="E7" s="38" t="n">
        <x:v>50.584</x:v>
      </x:c>
      <x:c r="F7" s="38" t="n">
        <x:v>43.466</x:v>
      </x:c>
      <x:c r="G7" s="38" t="n">
        <x:v>43.568</x:v>
      </x:c>
      <x:c r="H7" s="38" t="n">
        <x:f>G7-F7</x:f>
        <x:v>0.10199999999999676</x:v>
      </x:c>
      <x:c r="I7" s="37" t="n">
        <x:v>191</x:v>
      </x:c>
      <x:c r="J7" s="37" t="n">
        <x:v>182</x:v>
      </x:c>
      <x:c r="K7" s="37" t="n">
        <x:f>I7-J7</x:f>
        <x:v>9</x:v>
      </x:c>
      <x:c r="L7" s="36" t="str">
        <x:v>C</x:v>
      </x:c>
      <x:c r="M7" s="36" t="str">
        <x:v>C</x:v>
      </x:c>
      <x:c r="N7" s="36" t="str">
        <x:v>B</x:v>
      </x:c>
      <x:c r="O7" s="38" t="n">
        <x:f>MAX(0,IF(N7="A",Sources!$B$11,IF(N7="B",Sources!$B$12,IF(N7="C",Sources!$B$13,Sources!$B$14)))-G7)</x:f>
        <x:v>0.10106512786410349</x:v>
      </x:c>
      <x:c r="P7" s="36" t="str">
        <x:v>보통</x:v>
      </x:c>
      <x:c r="Q7" s="36" t="str">
        <x:f>IF(O7=0,"목표 충족",IF(O7&lt;=0.5,"즉시 승급권",IF(O7&lt;=1.5,"집중관리","구조개선")))</x:f>
        <x:v>즉시 승급권</x:v>
      </x:c>
      <x:c r="R7" s="39" t="n">
        <x:v>0.578</x:v>
      </x:c>
      <x:c r="S7" s="39" t="n">
        <x:v>0.121</x:v>
      </x:c>
      <x:c r="T7" s="39" t="n">
        <x:v>0.144</x:v>
      </x:c>
      <x:c r="U7" s="39" t="n">
        <x:v>0.17</x:v>
      </x:c>
      <x:c r="V7" s="39" t="n">
        <x:v>0.264</x:v>
      </x:c>
      <x:c r="W7" s="38" t="n">
        <x:v>14.284</x:v>
      </x:c>
      <x:c r="X7" s="38" t="n">
        <x:v>12.648</x:v>
      </x:c>
      <x:c r="Y7" s="38" t="n">
        <x:v>4.733</x:v>
      </x:c>
      <x:c r="Z7" s="38" t="n">
        <x:v>4.546</x:v>
      </x:c>
      <x:c r="AA7" s="38" t="n">
        <x:v>7.357</x:v>
      </x:c>
      <x:c r="AB7" s="40" t="str">
        <x:v>취업률·고임금·연계</x:v>
      </x:c>
      <x:c r="AC7" s="40" t="str">
        <x:v>중단 3명 사유 정리, 대체 실적과 취업률 60% 확보</x:v>
      </x:c>
      <x:c r="AD7" s="41" t="str">
        <x:v>스탭스 광주광산구센터 직접 매칭</x:v>
      </x:c>
    </x:row>
    <x:row r="8" ht="34" customHeight="1">
      <x:c r="A8" s="35" t="str">
        <x:v>부천</x:v>
      </x:c>
      <x:c r="B8" s="36" t="str">
        <x:v>단독</x:v>
      </x:c>
      <x:c r="C8" s="36" t="str">
        <x:v>B</x:v>
      </x:c>
      <x:c r="D8" s="37" t="n">
        <x:v>123</x:v>
      </x:c>
      <x:c r="E8" s="38" t="n">
        <x:v>54.59</x:v>
      </x:c>
      <x:c r="F8" s="38" t="n">
        <x:v>43.187</x:v>
      </x:c>
      <x:c r="G8" s="38" t="n">
        <x:v>43.223</x:v>
      </x:c>
      <x:c r="H8" s="38" t="n">
        <x:f>G8-F8</x:f>
        <x:v>0.036000000000001364</x:v>
      </x:c>
      <x:c r="I8" s="37" t="n">
        <x:v>207</x:v>
      </x:c>
      <x:c r="J8" s="37" t="n">
        <x:v>201</x:v>
      </x:c>
      <x:c r="K8" s="37" t="n">
        <x:f>I8-J8</x:f>
        <x:v>6</x:v>
      </x:c>
      <x:c r="L8" s="36" t="str">
        <x:v>C</x:v>
      </x:c>
      <x:c r="M8" s="36" t="str">
        <x:v>C</x:v>
      </x:c>
      <x:c r="N8" s="36" t="str">
        <x:v>B</x:v>
      </x:c>
      <x:c r="O8" s="38" t="n">
        <x:f>MAX(0,IF(N8="A",Sources!$B$11,IF(N8="B",Sources!$B$12,IF(N8="C",Sources!$B$13,Sources!$B$14)))-G8)</x:f>
        <x:v>0.44606512786410235</x:v>
      </x:c>
      <x:c r="P8" s="36" t="str">
        <x:v>보통</x:v>
      </x:c>
      <x:c r="Q8" s="36" t="str">
        <x:f>IF(O8=0,"목표 충족",IF(O8&lt;=0.5,"즉시 승급권",IF(O8&lt;=1.5,"집중관리","구조개선")))</x:f>
        <x:v>즉시 승급권</x:v>
      </x:c>
      <x:c r="R8" s="39" t="n">
        <x:v>0.617</x:v>
      </x:c>
      <x:c r="S8" s="39" t="n">
        <x:v>0.046</x:v>
      </x:c>
      <x:c r="T8" s="39" t="n">
        <x:v>0.145</x:v>
      </x:c>
      <x:c r="U8" s="39" t="n">
        <x:v>0.209</x:v>
      </x:c>
      <x:c r="V8" s="39" t="n">
        <x:v>0.253</x:v>
      </x:c>
      <x:c r="W8" s="38" t="n">
        <x:v>14.949</x:v>
      </x:c>
      <x:c r="X8" s="38" t="n">
        <x:v>11.242</x:v>
      </x:c>
      <x:c r="Y8" s="38" t="n">
        <x:v>4.679</x:v>
      </x:c>
      <x:c r="Z8" s="38" t="n">
        <x:v>5.137</x:v>
      </x:c>
      <x:c r="AA8" s="38" t="n">
        <x:v>7.216</x:v>
      </x:c>
      <x:c r="AB8" s="40" t="str">
        <x:v>알선취업률</x:v>
      </x:c>
      <x:c r="AC8" s="40" t="str">
        <x:v>직접알선 취업자 5명 목표, 만족도 보완</x:v>
      </x:c>
      <x:c r="AD8" s="41" t="str">
        <x:v>스탭스 부천센터 직접 매칭</x:v>
      </x:c>
    </x:row>
    <x:row r="9" ht="34" customHeight="1">
      <x:c r="A9" s="35" t="str">
        <x:v>서울동부</x:v>
      </x:c>
      <x:c r="B9" s="36" t="str">
        <x:v>컨소</x:v>
      </x:c>
      <x:c r="C9" s="36" t="str">
        <x:v>C</x:v>
      </x:c>
      <x:c r="D9" s="37" t="n">
        <x:v>210</x:v>
      </x:c>
      <x:c r="E9" s="38" t="n">
        <x:v>52.724</x:v>
      </x:c>
      <x:c r="F9" s="38" t="n">
        <x:v>43.111</x:v>
      </x:c>
      <x:c r="G9" s="38" t="n">
        <x:v>43.047</x:v>
      </x:c>
      <x:c r="H9" s="38" t="n">
        <x:f>G9-F9</x:f>
        <x:v>-0.06400000000000006</x:v>
      </x:c>
      <x:c r="I9" s="37" t="n">
        <x:v>212</x:v>
      </x:c>
      <x:c r="J9" s="37" t="n">
        <x:v>209</x:v>
      </x:c>
      <x:c r="K9" s="37" t="n">
        <x:f>I9-J9</x:f>
        <x:v>3</x:v>
      </x:c>
      <x:c r="L9" s="36" t="str">
        <x:v>C</x:v>
      </x:c>
      <x:c r="M9" s="36" t="str">
        <x:v>C</x:v>
      </x:c>
      <x:c r="N9" s="36" t="str">
        <x:v>B</x:v>
      </x:c>
      <x:c r="O9" s="38" t="n">
        <x:f>MAX(0,IF(N9="A",Sources!$B$11,IF(N9="B",Sources!$B$12,IF(N9="C",Sources!$B$13,Sources!$B$14)))-G9)</x:f>
        <x:v>0.6220651278641043</x:v>
      </x:c>
      <x:c r="P9" s="36" t="str">
        <x:v>보통</x:v>
      </x:c>
      <x:c r="Q9" s="36" t="str">
        <x:f>IF(O9=0,"목표 충족",IF(O9&lt;=0.5,"즉시 승급권",IF(O9&lt;=1.5,"집중관리","구조개선")))</x:f>
        <x:v>집중관리</x:v>
      </x:c>
      <x:c r="R9" s="39" t="n">
        <x:v>0.583</x:v>
      </x:c>
      <x:c r="S9" s="39" t="n">
        <x:v>0.046</x:v>
      </x:c>
      <x:c r="T9" s="39" t="n">
        <x:v>0.157</x:v>
      </x:c>
      <x:c r="U9" s="39" t="n">
        <x:v>0.248</x:v>
      </x:c>
      <x:c r="V9" s="39" t="n">
        <x:v>0.276</x:v>
      </x:c>
      <x:c r="W9" s="38" t="n">
        <x:v>14.379</x:v>
      </x:c>
      <x:c r="X9" s="38" t="n">
        <x:v>11.308</x:v>
      </x:c>
      <x:c r="Y9" s="38" t="n">
        <x:v>4.787</x:v>
      </x:c>
      <x:c r="Z9" s="38" t="n">
        <x:v>5.062</x:v>
      </x:c>
      <x:c r="AA9" s="38" t="n">
        <x:v>7.512</x:v>
      </x:c>
      <x:c r="AB9" s="40" t="str">
        <x:v>알선취업률·가점</x:v>
      </x:c>
      <x:c r="AC9" s="40" t="str">
        <x:v>가점 2점, 만족도, 파트너 역할별 알선실적 관리</x:v>
      </x:c>
      <x:c r="AD9" s="41" t="str">
        <x:v>스탭스 서울동부센터 직접 매칭</x:v>
      </x:c>
    </x:row>
    <x:row r="10" ht="34" customHeight="1">
      <x:c r="A10" s="35" t="str">
        <x:v>서울남부</x:v>
      </x:c>
      <x:c r="B10" s="36" t="str">
        <x:v>컨소</x:v>
      </x:c>
      <x:c r="C10" s="36" t="str">
        <x:v>C</x:v>
      </x:c>
      <x:c r="D10" s="37" t="n">
        <x:v>180</x:v>
      </x:c>
      <x:c r="E10" s="38" t="n">
        <x:v>53.367</x:v>
      </x:c>
      <x:c r="F10" s="38" t="n">
        <x:v>42.692</x:v>
      </x:c>
      <x:c r="G10" s="38" t="n">
        <x:v>42.839</x:v>
      </x:c>
      <x:c r="H10" s="38" t="n">
        <x:f>G10-F10</x:f>
        <x:v>0.14699999999999847</x:v>
      </x:c>
      <x:c r="I10" s="37" t="n">
        <x:v>228</x:v>
      </x:c>
      <x:c r="J10" s="37" t="n">
        <x:v>217</x:v>
      </x:c>
      <x:c r="K10" s="37" t="n">
        <x:f>I10-J10</x:f>
        <x:v>11</x:v>
      </x:c>
      <x:c r="L10" s="36" t="str">
        <x:v>C</x:v>
      </x:c>
      <x:c r="M10" s="36" t="str">
        <x:v>C</x:v>
      </x:c>
      <x:c r="N10" s="36" t="str">
        <x:v>B</x:v>
      </x:c>
      <x:c r="O10" s="38" t="n">
        <x:f>MAX(0,IF(N10="A",Sources!$B$11,IF(N10="B",Sources!$B$12,IF(N10="C",Sources!$B$13,Sources!$B$14)))-G10)</x:f>
        <x:v>0.8300651278641027</x:v>
      </x:c>
      <x:c r="P10" s="36" t="str">
        <x:v>보통</x:v>
      </x:c>
      <x:c r="Q10" s="36" t="str">
        <x:f>IF(O10=0,"목표 충족",IF(O10&lt;=0.5,"즉시 승급권",IF(O10&lt;=1.5,"집중관리","구조개선")))</x:f>
        <x:v>집중관리</x:v>
      </x:c>
      <x:c r="R10" s="39" t="n">
        <x:v>0.583</x:v>
      </x:c>
      <x:c r="S10" s="39" t="n">
        <x:v>0.047</x:v>
      </x:c>
      <x:c r="T10" s="39" t="n">
        <x:v>0.185</x:v>
      </x:c>
      <x:c r="U10" s="39" t="n">
        <x:v>0.213</x:v>
      </x:c>
      <x:c r="V10" s="39" t="n">
        <x:v>0.256</x:v>
      </x:c>
      <x:c r="W10" s="38" t="n">
        <x:v>14.568</x:v>
      </x:c>
      <x:c r="X10" s="38" t="n">
        <x:v>11.327</x:v>
      </x:c>
      <x:c r="Y10" s="38" t="n">
        <x:v>4.923</x:v>
      </x:c>
      <x:c r="Z10" s="38" t="n">
        <x:v>4.764</x:v>
      </x:c>
      <x:c r="AA10" s="38" t="n">
        <x:v>7.258</x:v>
      </x:c>
      <x:c r="AB10" s="40" t="str">
        <x:v>알선취업률·고용유지</x:v>
      </x:c>
      <x:c r="AC10" s="40" t="str">
        <x:v>직접알선 확대, 유지 증빙과 컨소 책임목표 확정</x:v>
      </x:c>
      <x:c r="AD10" s="41" t="str">
        <x:v>2025 동일 컨소 주관기관 기준</x:v>
      </x:c>
    </x:row>
    <x:row r="11" ht="34" customHeight="1">
      <x:c r="A11" s="35" t="str">
        <x:v>구로</x:v>
      </x:c>
      <x:c r="B11" s="36" t="str">
        <x:v>단독</x:v>
      </x:c>
      <x:c r="C11" s="36" t="str">
        <x:v>C</x:v>
      </x:c>
      <x:c r="D11" s="37" t="n">
        <x:v>212</x:v>
      </x:c>
      <x:c r="E11" s="38" t="n">
        <x:v>52.564</x:v>
      </x:c>
      <x:c r="F11" s="38" t="n">
        <x:v>42.433</x:v>
      </x:c>
      <x:c r="G11" s="38" t="n">
        <x:v>42.592</x:v>
      </x:c>
      <x:c r="H11" s="38" t="n">
        <x:f>G11-F11</x:f>
        <x:v>0.15899999999999892</x:v>
      </x:c>
      <x:c r="I11" s="37" t="n">
        <x:v>238</x:v>
      </x:c>
      <x:c r="J11" s="37" t="n">
        <x:v>231</x:v>
      </x:c>
      <x:c r="K11" s="37" t="n">
        <x:f>I11-J11</x:f>
        <x:v>7</x:v>
      </x:c>
      <x:c r="L11" s="36" t="str">
        <x:v>C</x:v>
      </x:c>
      <x:c r="M11" s="36" t="str">
        <x:v>C</x:v>
      </x:c>
      <x:c r="N11" s="36" t="str">
        <x:v>B</x:v>
      </x:c>
      <x:c r="O11" s="38" t="n">
        <x:f>MAX(0,IF(N11="A",Sources!$B$11,IF(N11="B",Sources!$B$12,IF(N11="C",Sources!$B$13,Sources!$B$14)))-G11)</x:f>
        <x:v>1.0770651278641026</x:v>
      </x:c>
      <x:c r="P11" s="36" t="str">
        <x:v>위험</x:v>
      </x:c>
      <x:c r="Q11" s="36" t="str">
        <x:f>IF(O11=0,"목표 충족",IF(O11&lt;=0.5,"즉시 승급권",IF(O11&lt;=1.5,"집중관리","구조개선")))</x:f>
        <x:v>집중관리</x:v>
      </x:c>
      <x:c r="R11" s="39" t="n">
        <x:v>0.574</x:v>
      </x:c>
      <x:c r="S11" s="39" t="n">
        <x:v>0.037</x:v>
      </x:c>
      <x:c r="T11" s="39" t="n">
        <x:v>0.134</x:v>
      </x:c>
      <x:c r="U11" s="39" t="n">
        <x:v>0.237</x:v>
      </x:c>
      <x:c r="V11" s="39" t="n">
        <x:v>0.287</x:v>
      </x:c>
      <x:c r="W11" s="38" t="n">
        <x:v>14.221</x:v>
      </x:c>
      <x:c r="X11" s="38" t="n">
        <x:v>11.107</x:v>
      </x:c>
      <x:c r="Y11" s="38" t="n">
        <x:v>4.635</x:v>
      </x:c>
      <x:c r="Z11" s="38" t="n">
        <x:v>4.972</x:v>
      </x:c>
      <x:c r="AA11" s="38" t="n">
        <x:v>7.657</x:v>
      </x:c>
      <x:c r="AB11" s="40" t="str">
        <x:v>알선취업률·조기취업</x:v>
      </x:c>
      <x:c r="AC11" s="40" t="str">
        <x:v>본사 알선지원, 단독기관 연계실적 동시 확보</x:v>
      </x:c>
      <x:c r="AD11" s="41" t="str">
        <x:v>스탭스 구로센터 직접 매칭</x:v>
      </x:c>
    </x:row>
    <x:row r="12" ht="34" customHeight="1">
      <x:c r="A12" s="35" t="str">
        <x:v>대구동부</x:v>
      </x:c>
      <x:c r="B12" s="36" t="str">
        <x:v>컨소</x:v>
      </x:c>
      <x:c r="C12" s="36" t="str">
        <x:v>C</x:v>
      </x:c>
      <x:c r="D12" s="37" t="n">
        <x:v>176</x:v>
      </x:c>
      <x:c r="E12" s="38" t="n">
        <x:v>53.45</x:v>
      </x:c>
      <x:c r="F12" s="38" t="n">
        <x:v>41.911</x:v>
      </x:c>
      <x:c r="G12" s="38" t="n">
        <x:v>43.059</x:v>
      </x:c>
      <x:c r="H12" s="38" t="n">
        <x:f>G12-F12</x:f>
        <x:v>1.1479999999999961</x:v>
      </x:c>
      <x:c r="I12" s="37" t="n">
        <x:v>256</x:v>
      </x:c>
      <x:c r="J12" s="37" t="n">
        <x:v>208</x:v>
      </x:c>
      <x:c r="K12" s="37" t="n">
        <x:f>I12-J12</x:f>
        <x:v>48</x:v>
      </x:c>
      <x:c r="L12" s="36" t="str">
        <x:v>D</x:v>
      </x:c>
      <x:c r="M12" s="36" t="str">
        <x:v>C</x:v>
      </x:c>
      <x:c r="N12" s="36" t="str">
        <x:v>B</x:v>
      </x:c>
      <x:c r="O12" s="38" t="n">
        <x:f>MAX(0,IF(N12="A",Sources!$B$11,IF(N12="B",Sources!$B$12,IF(N12="C",Sources!$B$13,Sources!$B$14)))-G12)</x:f>
        <x:v>0.6100651278641038</x:v>
      </x:c>
      <x:c r="P12" s="36" t="str">
        <x:v>위험</x:v>
      </x:c>
      <x:c r="Q12" s="36" t="str">
        <x:f>IF(O12=0,"목표 충족",IF(O12&lt;=0.5,"즉시 승급권",IF(O12&lt;=1.5,"집중관리","구조개선")))</x:f>
        <x:v>집중관리</x:v>
      </x:c>
      <x:c r="R12" s="39" t="n">
        <x:v>0.572</x:v>
      </x:c>
      <x:c r="S12" s="39" t="n">
        <x:v>0.1</x:v>
      </x:c>
      <x:c r="T12" s="39" t="n">
        <x:v>0.127</x:v>
      </x:c>
      <x:c r="U12" s="39" t="n">
        <x:v>0.195</x:v>
      </x:c>
      <x:c r="V12" s="39" t="n">
        <x:v>0.253</x:v>
      </x:c>
      <x:c r="W12" s="38" t="n">
        <x:v>14.246</x:v>
      </x:c>
      <x:c r="X12" s="38" t="n">
        <x:v>12.284</x:v>
      </x:c>
      <x:c r="Y12" s="38" t="n">
        <x:v>4.677</x:v>
      </x:c>
      <x:c r="Z12" s="38" t="n">
        <x:v>4.635</x:v>
      </x:c>
      <x:c r="AA12" s="38" t="n">
        <x:v>7.218</x:v>
      </x:c>
      <x:c r="AB12" s="40" t="str">
        <x:v>취업률·고임금·연계</x:v>
      </x:c>
      <x:c r="AC12" s="40" t="str">
        <x:v>취업률 60%와 연계점수 확보, 상승세 유지</x:v>
      </x:c>
      <x:c r="AD12" s="41" t="str">
        <x:v>2025 동일 컨소 주관기관 기준</x:v>
      </x:c>
    </x:row>
    <x:row r="13" ht="34" customHeight="1">
      <x:c r="A13" s="35" t="str">
        <x:v>부산동부</x:v>
      </x:c>
      <x:c r="B13" s="36" t="str">
        <x:v>단독</x:v>
      </x:c>
      <x:c r="C13" s="36" t="str">
        <x:v>C</x:v>
      </x:c>
      <x:c r="D13" s="37" t="n">
        <x:v>189</x:v>
      </x:c>
      <x:c r="E13" s="38" t="n">
        <x:v>53.227</x:v>
      </x:c>
      <x:c r="F13" s="38" t="n">
        <x:v>41.753</x:v>
      </x:c>
      <x:c r="G13" s="38" t="n">
        <x:v>42.797</x:v>
      </x:c>
      <x:c r="H13" s="38" t="n">
        <x:f>G13-F13</x:f>
        <x:v>1.043999999999997</x:v>
      </x:c>
      <x:c r="I13" s="37" t="n">
        <x:v>258</x:v>
      </x:c>
      <x:c r="J13" s="37" t="n">
        <x:v>221</x:v>
      </x:c>
      <x:c r="K13" s="37" t="n">
        <x:f>I13-J13</x:f>
        <x:v>37</x:v>
      </x:c>
      <x:c r="L13" s="36" t="str">
        <x:v>D</x:v>
      </x:c>
      <x:c r="M13" s="36" t="str">
        <x:v>C</x:v>
      </x:c>
      <x:c r="N13" s="36" t="str">
        <x:v>B</x:v>
      </x:c>
      <x:c r="O13" s="38" t="n">
        <x:f>MAX(0,IF(N13="A",Sources!$B$11,IF(N13="B",Sources!$B$12,IF(N13="C",Sources!$B$13,Sources!$B$14)))-G13)</x:f>
        <x:v>0.8720651278641043</x:v>
      </x:c>
      <x:c r="P13" s="36" t="str">
        <x:v>위험</x:v>
      </x:c>
      <x:c r="Q13" s="36" t="str">
        <x:f>IF(O13=0,"목표 충족",IF(O13&lt;=0.5,"즉시 승급권",IF(O13&lt;=1.5,"집중관리","구조개선")))</x:f>
        <x:v>집중관리</x:v>
      </x:c>
      <x:c r="R13" s="39" t="n">
        <x:v>0.582</x:v>
      </x:c>
      <x:c r="S13" s="39" t="n">
        <x:v>0.131</x:v>
      </x:c>
      <x:c r="T13" s="39" t="n">
        <x:v>0.138</x:v>
      </x:c>
      <x:c r="U13" s="39" t="n">
        <x:v>0.175</x:v>
      </x:c>
      <x:c r="V13" s="39" t="n">
        <x:v>0.219</x:v>
      </x:c>
      <x:c r="W13" s="38" t="n">
        <x:v>14.14</x:v>
      </x:c>
      <x:c r="X13" s="38" t="n">
        <x:v>12.621</x:v>
      </x:c>
      <x:c r="Y13" s="38" t="n">
        <x:v>4.65</x:v>
      </x:c>
      <x:c r="Z13" s="38" t="n">
        <x:v>4.617</x:v>
      </x:c>
      <x:c r="AA13" s="38" t="n">
        <x:v>6.769</x:v>
      </x:c>
      <x:c r="AB13" s="40" t="str">
        <x:v>취업률·유지·연계</x:v>
      </x:c>
      <x:c r="AC13" s="40" t="str">
        <x:v>취업률 60%, 연계 2점 이상, 유지 증빙 점검</x:v>
      </x:c>
      <x:c r="AD13" s="41" t="str">
        <x:v>스탭스 부산동부센터 직접 매칭</x:v>
      </x:c>
    </x:row>
    <x:row r="14" ht="34" customHeight="1">
      <x:c r="A14" s="35" t="str">
        <x:v>고양</x:v>
      </x:c>
      <x:c r="B14" s="36" t="str">
        <x:v>컨소</x:v>
      </x:c>
      <x:c r="C14" s="36" t="str">
        <x:v>B</x:v>
      </x:c>
      <x:c r="D14" s="37" t="n">
        <x:v>84</x:v>
      </x:c>
      <x:c r="E14" s="38" t="n">
        <x:v>55.451</x:v>
      </x:c>
      <x:c r="F14" s="38" t="n">
        <x:v>41.927</x:v>
      </x:c>
      <x:c r="G14" s="38" t="n">
        <x:v>42.292</x:v>
      </x:c>
      <x:c r="H14" s="38" t="n">
        <x:f>G14-F14</x:f>
        <x:v>0.365000000000002</x:v>
      </x:c>
      <x:c r="I14" s="37" t="n">
        <x:v>254</x:v>
      </x:c>
      <x:c r="J14" s="37" t="n">
        <x:v>246</x:v>
      </x:c>
      <x:c r="K14" s="37" t="n">
        <x:f>I14-J14</x:f>
        <x:v>8</x:v>
      </x:c>
      <x:c r="L14" s="36" t="str">
        <x:v>D</x:v>
      </x:c>
      <x:c r="M14" s="36" t="str">
        <x:v>D</x:v>
      </x:c>
      <x:c r="N14" s="36" t="str">
        <x:v>B</x:v>
      </x:c>
      <x:c r="O14" s="38" t="n">
        <x:f>MAX(0,IF(N14="A",Sources!$B$11,IF(N14="B",Sources!$B$12,IF(N14="C",Sources!$B$13,Sources!$B$14)))-G14)</x:f>
        <x:v>1.3770651278640997</x:v>
      </x:c>
      <x:c r="P14" s="36" t="str">
        <x:v>위험</x:v>
      </x:c>
      <x:c r="Q14" s="36" t="str">
        <x:f>IF(O14=0,"목표 충족",IF(O14&lt;=0.5,"즉시 승급권",IF(O14&lt;=1.5,"집중관리","구조개선")))</x:f>
        <x:v>집중관리</x:v>
      </x:c>
      <x:c r="R14" s="39" t="n">
        <x:v>0.537</x:v>
      </x:c>
      <x:c r="S14" s="39" t="n">
        <x:v>0.093</x:v>
      </x:c>
      <x:c r="T14" s="39" t="n">
        <x:v>0.131</x:v>
      </x:c>
      <x:c r="U14" s="39" t="n">
        <x:v>0.185</x:v>
      </x:c>
      <x:c r="V14" s="39" t="n">
        <x:v>0.246</x:v>
      </x:c>
      <x:c r="W14" s="38" t="n">
        <x:v>13.663</x:v>
      </x:c>
      <x:c r="X14" s="38" t="n">
        <x:v>12.143</x:v>
      </x:c>
      <x:c r="Y14" s="38" t="n">
        <x:v>4.685</x:v>
      </x:c>
      <x:c r="Z14" s="38" t="n">
        <x:v>4.672</x:v>
      </x:c>
      <x:c r="AA14" s="38" t="n">
        <x:v>7.131</x:v>
      </x:c>
      <x:c r="AB14" s="40" t="str">
        <x:v>취업률·고임금</x:v>
      </x:c>
      <x:c r="AC14" s="40" t="str">
        <x:v>먼저 C 경계 돌파, 취업자 집중 발굴과 연계 2점</x:v>
      </x:c>
      <x:c r="AD14" s="41" t="str">
        <x:v>스탭스 고양센터 직접 매칭</x:v>
      </x:c>
    </x:row>
    <x:row r="15" ht="34" customHeight="1">
      <x:c r="A15" s="35" t="str">
        <x:v>전주</x:v>
      </x:c>
      <x:c r="B15" s="36" t="str">
        <x:v>컨소</x:v>
      </x:c>
      <x:c r="C15" s="36" t="str">
        <x:v>C</x:v>
      </x:c>
      <x:c r="D15" s="37" t="n">
        <x:v>207</x:v>
      </x:c>
      <x:c r="E15" s="38" t="n">
        <x:v>52.856</x:v>
      </x:c>
      <x:c r="F15" s="38" t="n">
        <x:v>42.129</x:v>
      </x:c>
      <x:c r="G15" s="38" t="n">
        <x:v>41.931</x:v>
      </x:c>
      <x:c r="H15" s="38" t="n">
        <x:f>G15-F15</x:f>
        <x:v>-0.1980000000000004</x:v>
      </x:c>
      <x:c r="I15" s="37" t="n">
        <x:v>248</x:v>
      </x:c>
      <x:c r="J15" s="37" t="n">
        <x:v>251</x:v>
      </x:c>
      <x:c r="K15" s="37" t="n">
        <x:f>I15-J15</x:f>
        <x:v>-3</x:v>
      </x:c>
      <x:c r="L15" s="36" t="str">
        <x:v>D</x:v>
      </x:c>
      <x:c r="M15" s="36" t="str">
        <x:v>D</x:v>
      </x:c>
      <x:c r="N15" s="36" t="str">
        <x:v>C</x:v>
      </x:c>
      <x:c r="O15" s="38" t="n">
        <x:f>MAX(0,IF(N15="A",Sources!$B$11,IF(N15="B",Sources!$B$12,IF(N15="C",Sources!$B$13,Sources!$B$14)))-G15)</x:f>
        <x:v>0.4275665458294995</x:v>
      </x:c>
      <x:c r="P15" s="36" t="str">
        <x:v>위험</x:v>
      </x:c>
      <x:c r="Q15" s="36" t="str">
        <x:f>IF(O15=0,"목표 충족",IF(O15&lt;=0.5,"즉시 승급권",IF(O15&lt;=1.5,"집중관리","구조개선")))</x:f>
        <x:v>즉시 승급권</x:v>
      </x:c>
      <x:c r="R15" s="39" t="n">
        <x:v>0.553</x:v>
      </x:c>
      <x:c r="S15" s="39" t="n">
        <x:v>0.054</x:v>
      </x:c>
      <x:c r="T15" s="39" t="n">
        <x:v>0.143</x:v>
      </x:c>
      <x:c r="U15" s="39" t="n">
        <x:v>0.18</x:v>
      </x:c>
      <x:c r="V15" s="39" t="n">
        <x:v>0.264</x:v>
      </x:c>
      <x:c r="W15" s="38" t="n">
        <x:v>13.779</x:v>
      </x:c>
      <x:c r="X15" s="38" t="n">
        <x:v>11.453</x:v>
      </x:c>
      <x:c r="Y15" s="38" t="n">
        <x:v>4.726</x:v>
      </x:c>
      <x:c r="Z15" s="38" t="n">
        <x:v>4.609</x:v>
      </x:c>
      <x:c r="AA15" s="38" t="n">
        <x:v>7.365</x:v>
      </x:c>
      <x:c r="AB15" s="40" t="str">
        <x:v>취업률·알선·연계</x:v>
      </x:c>
      <x:c r="AC15" s="40" t="str">
        <x:v>직접알선과 취업자를 동시 확대, 연계실적 확정</x:v>
      </x:c>
      <x:c r="AD15" s="41" t="str">
        <x:v>스탭스 전주센터 직접 매칭</x:v>
      </x:c>
    </x:row>
    <x:row r="16" ht="34" customHeight="1">
      <x:c r="A16" s="35" t="str">
        <x:v>천안</x:v>
      </x:c>
      <x:c r="B16" s="36" t="str">
        <x:v>단독</x:v>
      </x:c>
      <x:c r="C16" s="36" t="str">
        <x:v>B</x:v>
      </x:c>
      <x:c r="D16" s="37" t="n">
        <x:v>142</x:v>
      </x:c>
      <x:c r="E16" s="38" t="n">
        <x:v>54.324</x:v>
      </x:c>
      <x:c r="F16" s="38" t="n">
        <x:v>40.954</x:v>
      </x:c>
      <x:c r="G16" s="38" t="n">
        <x:v>40.661</x:v>
      </x:c>
      <x:c r="H16" s="38" t="n">
        <x:f>G16-F16</x:f>
        <x:v>-0.29299999999999926</x:v>
      </x:c>
      <x:c r="I16" s="37" t="n">
        <x:v>274</x:v>
      </x:c>
      <x:c r="J16" s="37" t="n">
        <x:v>277</x:v>
      </x:c>
      <x:c r="K16" s="37" t="n">
        <x:f>I16-J16</x:f>
        <x:v>-3</x:v>
      </x:c>
      <x:c r="L16" s="36" t="str">
        <x:v>D</x:v>
      </x:c>
      <x:c r="M16" s="36" t="str">
        <x:v>D</x:v>
      </x:c>
      <x:c r="N16" s="36" t="str">
        <x:v>C</x:v>
      </x:c>
      <x:c r="O16" s="38" t="n">
        <x:f>MAX(0,IF(N16="A",Sources!$B$11,IF(N16="B",Sources!$B$12,IF(N16="C",Sources!$B$13,Sources!$B$14)))-G16)</x:f>
        <x:v>1.6975665458294955</x:v>
      </x:c>
      <x:c r="P16" s="36" t="str">
        <x:v>위험</x:v>
      </x:c>
      <x:c r="Q16" s="36" t="str">
        <x:f>IF(O16=0,"목표 충족",IF(O16&lt;=0.5,"즉시 승급권",IF(O16&lt;=1.5,"집중관리","구조개선")))</x:f>
        <x:v>구조개선</x:v>
      </x:c>
      <x:c r="R16" s="39" t="n">
        <x:v>0.501</x:v>
      </x:c>
      <x:c r="S16" s="39" t="n">
        <x:v>0.074</x:v>
      </x:c>
      <x:c r="T16" s="39" t="n">
        <x:v>0.088</x:v>
      </x:c>
      <x:c r="U16" s="39" t="n">
        <x:v>0.189</x:v>
      </x:c>
      <x:c r="V16" s="39" t="n">
        <x:v>0.211</x:v>
      </x:c>
      <x:c r="W16" s="38" t="n">
        <x:v>13.115</x:v>
      </x:c>
      <x:c r="X16" s="38" t="n">
        <x:v>11.707</x:v>
      </x:c>
      <x:c r="Y16" s="38" t="n">
        <x:v>4.462</x:v>
      </x:c>
      <x:c r="Z16" s="38" t="n">
        <x:v>4.712</x:v>
      </x:c>
      <x:c r="AA16" s="38" t="n">
        <x:v>6.665</x:v>
      </x:c>
      <x:c r="AB16" s="40" t="str">
        <x:v>취업률·조기취업·유지</x:v>
      </x:c>
      <x:c r="AC16" s="40" t="str">
        <x:v>해외취업 인정 확인, 취업자 구조개선 집중</x:v>
      </x:c>
      <x:c r="AD16" s="41" t="str">
        <x:v>스탭스 천안센터 직접 매칭</x:v>
      </x:c>
    </x:row>
    <x:row r="17" ht="34" customHeight="1">
      <x:c r="A17" s="42" t="str">
        <x:v>서영사무소</x:v>
      </x:c>
      <x:c r="B17" s="43" t="str">
        <x:v>단독</x:v>
      </x:c>
      <x:c r="C17" s="43" t="str">
        <x:v>비교불가</x:v>
      </x:c>
      <x:c r="D17" s="44"/>
      <x:c r="E17" s="45"/>
      <x:c r="F17" s="45" t="n">
        <x:v>37.932</x:v>
      </x:c>
      <x:c r="G17" s="45" t="n">
        <x:v>38.113</x:v>
      </x:c>
      <x:c r="H17" s="45" t="n">
        <x:f>G17-F17</x:f>
        <x:v>0.18099999999999739</x:v>
      </x:c>
      <x:c r="I17" s="44" t="n">
        <x:v>287</x:v>
      </x:c>
      <x:c r="J17" s="44" t="n">
        <x:v>287</x:v>
      </x:c>
      <x:c r="K17" s="44" t="n">
        <x:f>I17-J17</x:f>
        <x:v>0</x:v>
      </x:c>
      <x:c r="L17" s="43" t="str">
        <x:v>D</x:v>
      </x:c>
      <x:c r="M17" s="43" t="str">
        <x:v>D</x:v>
      </x:c>
      <x:c r="N17" s="43" t="str">
        <x:v>C</x:v>
      </x:c>
      <x:c r="O17" s="45" t="n">
        <x:f>MAX(0,IF(N17="A",Sources!$B$11,IF(N17="B",Sources!$B$12,IF(N17="C",Sources!$B$13,Sources!$B$14)))-G17)</x:f>
        <x:v>4.245566545829497</x:v>
      </x:c>
      <x:c r="P17" s="43" t="str">
        <x:v>위험</x:v>
      </x:c>
      <x:c r="Q17" s="43" t="str">
        <x:f>IF(O17=0,"목표 충족",IF(O17&lt;=0.5,"즉시 승급권",IF(O17&lt;=1.5,"집중관리","구조개선")))</x:f>
        <x:v>구조개선</x:v>
      </x:c>
      <x:c r="R17" s="46" t="n">
        <x:v>0.428</x:v>
      </x:c>
      <x:c r="S17" s="46" t="n">
        <x:v>0.034</x:v>
      </x:c>
      <x:c r="T17" s="46" t="n">
        <x:v>0.074</x:v>
      </x:c>
      <x:c r="U17" s="46" t="n">
        <x:v>0.126</x:v>
      </x:c>
      <x:c r="V17" s="46" t="n">
        <x:v>0.188</x:v>
      </x:c>
      <x:c r="W17" s="45" t="n">
        <x:v>12.026</x:v>
      </x:c>
      <x:c r="X17" s="45" t="n">
        <x:v>11.054</x:v>
      </x:c>
      <x:c r="Y17" s="45" t="n">
        <x:v>4.404</x:v>
      </x:c>
      <x:c r="Z17" s="45" t="n">
        <x:v>4.268</x:v>
      </x:c>
      <x:c r="AA17" s="45" t="n">
        <x:v>6.36</x:v>
      </x:c>
      <x:c r="AB17" s="47" t="str">
        <x:v>취업률·알선·조기취업</x:v>
      </x:c>
      <x:c r="AC17" s="47" t="str">
        <x:v>본사 개입형 취업·알선 파이프라인 주간 운영</x:v>
      </x:c>
      <x:c r="AD17" s="48" t="str">
        <x:v>2025 동일 운영단위 확인 불가</x:v>
      </x:c>
    </x:row>
  </x:sheetData>
  <x:conditionalFormatting sqref="H2:H17">
    <x:cfRule type="colorScale" priority="1">
      <x:colorScale>
        <x:cfvo type="min"/>
        <x:cfvo type="percentile" val="50"/>
        <x:cfvo type="max"/>
        <x:color rgb="FFFCE4D6"/>
        <x:color rgb="FFFFFFFF"/>
        <x:color rgb="FFE2F0D9"/>
      </x:colorScale>
    </x:cfRule>
  </x:conditionalFormatting>
  <x:conditionalFormatting sqref="O2:O17">
    <x:cfRule type="colorScale" priority="2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P2:P17">
    <x:cfRule type="containsText" dxfId="0" priority="3" operator="containsText" text="위험"/>
    <x:cfRule type="containsText" dxfId="1" priority="4" operator="containsText" text="보통"/>
  </x:conditionalFormatting>
  <x:conditionalFormatting sqref="M2:M17">
    <x:cfRule type="containsText" dxfId="2" priority="5" operator="containsText" text="D"/>
    <x:cfRule type="containsText" dxfId="3" priority="6" operator="containsText" text="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26" hidden="0" customWidth="1"/>
    <x:col min="11" max="11" width="13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30" hidden="0" customWidth="1"/>
  </x:cols>
  <x:sheetData>
    <x:row r="1">
      <x:c r="A1" s="34" t="str">
        <x:v>센터</x:v>
      </x:c>
      <x:c r="B1" s="34" t="str">
        <x:v>위험도</x:v>
      </x:c>
      <x:c r="C1" s="34" t="str">
        <x:v>현재 등급</x:v>
      </x:c>
      <x:c r="D1" s="34" t="str">
        <x:v>목표 등급</x:v>
      </x:c>
      <x:c r="E1" s="34" t="str">
        <x:v>점수 차이</x:v>
      </x:c>
      <x:c r="F1" s="34" t="str">
        <x:v>취업률</x:v>
      </x:c>
      <x:c r="G1" s="34" t="str">
        <x:v>알선취업률</x:v>
      </x:c>
      <x:c r="H1" s="34" t="str">
        <x:v>관리 구간</x:v>
      </x:c>
      <x:c r="I1" s="34" t="str">
        <x:v>이번 주 핵심과제</x:v>
      </x:c>
      <x:c r="J1" s="34" t="str">
        <x:v>증빙·가점 확인</x:v>
      </x:c>
      <x:c r="K1" s="34" t="str">
        <x:v>담당자</x:v>
      </x:c>
      <x:c r="L1" s="34" t="str">
        <x:v>마감일</x:v>
      </x:c>
      <x:c r="M1" s="34" t="str">
        <x:v>진행상태</x:v>
      </x:c>
      <x:c r="N1" s="34" t="str">
        <x:v>알선 목표(건)</x:v>
      </x:c>
      <x:c r="O1" s="34" t="str">
        <x:v>주간 실적(건)</x:v>
      </x:c>
      <x:c r="P1" s="34" t="str">
        <x:v>주간 메모</x:v>
      </x:c>
    </x:row>
    <x:row r="2" ht="34" customHeight="1">
      <x:c r="A2" s="35" t="str">
        <x:f>'Center Detail'!A2</x:f>
        <x:v>서울</x:v>
      </x:c>
      <x:c r="B2" s="36" t="str">
        <x:f>'Center Detail'!P2</x:f>
        <x:v>안전</x:v>
      </x:c>
      <x:c r="C2" s="36" t="str">
        <x:f>'Center Detail'!M2</x:f>
        <x:v>A</x:v>
      </x:c>
      <x:c r="D2" s="36" t="str">
        <x:f>'Center Detail'!N2</x:f>
        <x:v>A</x:v>
      </x:c>
      <x:c r="E2" s="38" t="n">
        <x:f>'Center Detail'!O2</x:f>
        <x:v>0</x:v>
      </x:c>
      <x:c r="F2" s="39" t="n">
        <x:f>'Center Detail'!R2</x:f>
        <x:v>0.878</x:v>
      </x:c>
      <x:c r="G2" s="39" t="n">
        <x:f>'Center Detail'!S2</x:f>
        <x:v>0.073</x:v>
      </x:c>
      <x:c r="H2" s="36" t="str">
        <x:f>'Center Detail'!Q2</x:f>
        <x:v>목표 충족</x:v>
      </x:c>
      <x:c r="I2" s="40" t="str">
        <x:f>'Center Detail'!AC2</x:f>
        <x:v>직접알선 2건 이상 확보, 180일 유지 증빙 점검</x:v>
      </x:c>
      <x:c r="J2" s="40" t="str">
        <x:v>연계·만족도·증빙</x:v>
      </x:c>
      <x:c r="K2" s="54"/>
      <x:c r="L2" s="55"/>
      <x:c r="M2" s="54" t="str">
        <x:v>미착수</x:v>
      </x:c>
      <x:c r="N2" s="54"/>
      <x:c r="O2" s="54"/>
      <x:c r="P2" s="56"/>
    </x:row>
    <x:row r="3" ht="34" customHeight="1">
      <x:c r="A3" s="35" t="str">
        <x:f>'Center Detail'!A3</x:f>
        <x:v>성남</x:v>
      </x:c>
      <x:c r="B3" s="36" t="str">
        <x:f>'Center Detail'!P3</x:f>
        <x:v>안전</x:v>
      </x:c>
      <x:c r="C3" s="36" t="str">
        <x:f>'Center Detail'!M3</x:f>
        <x:v>B</x:v>
      </x:c>
      <x:c r="D3" s="36" t="str">
        <x:f>'Center Detail'!N3</x:f>
        <x:v>A</x:v>
      </x:c>
      <x:c r="E3" s="38" t="n">
        <x:f>'Center Detail'!O3</x:f>
        <x:v>0.3139350079649006</x:v>
      </x:c>
      <x:c r="F3" s="39" t="n">
        <x:f>'Center Detail'!R3</x:f>
        <x:v>0.615</x:v>
      </x:c>
      <x:c r="G3" s="39" t="n">
        <x:f>'Center Detail'!S3</x:f>
        <x:v>0.168</x:v>
      </x:c>
      <x:c r="H3" s="36" t="str">
        <x:f>'Center Detail'!Q3</x:f>
        <x:v>즉시 승급권</x:v>
      </x:c>
      <x:c r="I3" s="40" t="str">
        <x:f>'Center Detail'!AC3</x:f>
        <x:v>만족도와 연계점수 확정, 취업률 60% 이상 유지</x:v>
      </x:c>
      <x:c r="J3" s="40" t="str">
        <x:v>파트너별 연계·만족도·증빙</x:v>
      </x:c>
      <x:c r="K3" s="54"/>
      <x:c r="L3" s="55"/>
      <x:c r="M3" s="54" t="str">
        <x:v>미착수</x:v>
      </x:c>
      <x:c r="N3" s="54"/>
      <x:c r="O3" s="54"/>
      <x:c r="P3" s="56"/>
    </x:row>
    <x:row r="4" ht="34" customHeight="1">
      <x:c r="A4" s="35" t="str">
        <x:f>'Center Detail'!A4</x:f>
        <x:v>청주</x:v>
      </x:c>
      <x:c r="B4" s="36" t="str">
        <x:f>'Center Detail'!P4</x:f>
        <x:v>위험</x:v>
      </x:c>
      <x:c r="C4" s="36" t="str">
        <x:f>'Center Detail'!M4</x:f>
        <x:v>B</x:v>
      </x:c>
      <x:c r="D4" s="36" t="str">
        <x:f>'Center Detail'!N4</x:f>
        <x:v>B</x:v>
      </x:c>
      <x:c r="E4" s="38" t="n">
        <x:f>'Center Detail'!O4</x:f>
        <x:v>0</x:v>
      </x:c>
      <x:c r="F4" s="39" t="n">
        <x:f>'Center Detail'!R4</x:f>
        <x:v>0.944</x:v>
      </x:c>
      <x:c r="G4" s="39" t="n">
        <x:f>'Center Detail'!S4</x:f>
        <x:v>0</x:v>
      </x:c>
      <x:c r="H4" s="36" t="str">
        <x:f>'Center Detail'!Q4</x:f>
        <x:v>목표 충족</x:v>
      </x:c>
      <x:c r="I4" s="40" t="str">
        <x:f>'Center Detail'!AC4</x:f>
        <x:v>신규 취업자를 직접알선으로 연결, 알선 2건 우선</x:v>
      </x:c>
      <x:c r="J4" s="40" t="str">
        <x:v>연계·만족도·증빙</x:v>
      </x:c>
      <x:c r="K4" s="54"/>
      <x:c r="L4" s="55"/>
      <x:c r="M4" s="54" t="str">
        <x:v>미착수</x:v>
      </x:c>
      <x:c r="N4" s="54"/>
      <x:c r="O4" s="54"/>
      <x:c r="P4" s="56"/>
    </x:row>
    <x:row r="5" ht="34" customHeight="1">
      <x:c r="A5" s="35" t="str">
        <x:f>'Center Detail'!A5</x:f>
        <x:v>구미</x:v>
      </x:c>
      <x:c r="B5" s="36" t="str">
        <x:f>'Center Detail'!P5</x:f>
        <x:v>안전</x:v>
      </x:c>
      <x:c r="C5" s="36" t="str">
        <x:f>'Center Detail'!M5</x:f>
        <x:v>B</x:v>
      </x:c>
      <x:c r="D5" s="36" t="str">
        <x:f>'Center Detail'!N5</x:f>
        <x:v>B</x:v>
      </x:c>
      <x:c r="E5" s="38" t="n">
        <x:f>'Center Detail'!O5</x:f>
        <x:v>0</x:v>
      </x:c>
      <x:c r="F5" s="39" t="n">
        <x:f>'Center Detail'!R5</x:f>
        <x:v>0.586</x:v>
      </x:c>
      <x:c r="G5" s="39" t="n">
        <x:f>'Center Detail'!S5</x:f>
        <x:v>0.146</x:v>
      </x:c>
      <x:c r="H5" s="36" t="str">
        <x:f>'Center Detail'!Q5</x:f>
        <x:v>목표 충족</x:v>
      </x:c>
      <x:c r="I5" s="40" t="str">
        <x:f>'Center Detail'!AC5</x:f>
        <x:v>취업률 60% 달성, 컨소 연계실적 조기 확정</x:v>
      </x:c>
      <x:c r="J5" s="40" t="str">
        <x:v>파트너별 연계·만족도·증빙</x:v>
      </x:c>
      <x:c r="K5" s="54"/>
      <x:c r="L5" s="55"/>
      <x:c r="M5" s="54" t="str">
        <x:v>미착수</x:v>
      </x:c>
      <x:c r="N5" s="54"/>
      <x:c r="O5" s="54"/>
      <x:c r="P5" s="56"/>
    </x:row>
    <x:row r="6" ht="34" customHeight="1">
      <x:c r="A6" s="35" t="str">
        <x:f>'Center Detail'!A6</x:f>
        <x:v>인천북부</x:v>
      </x:c>
      <x:c r="B6" s="36" t="str">
        <x:f>'Center Detail'!P6</x:f>
        <x:v>안전</x:v>
      </x:c>
      <x:c r="C6" s="36" t="str">
        <x:f>'Center Detail'!M6</x:f>
        <x:v>B</x:v>
      </x:c>
      <x:c r="D6" s="36" t="str">
        <x:f>'Center Detail'!N6</x:f>
        <x:v>B</x:v>
      </x:c>
      <x:c r="E6" s="38" t="n">
        <x:f>'Center Detail'!O6</x:f>
        <x:v>0</x:v>
      </x:c>
      <x:c r="F6" s="39" t="n">
        <x:f>'Center Detail'!R6</x:f>
        <x:v>0.616</x:v>
      </x:c>
      <x:c r="G6" s="39" t="n">
        <x:f>'Center Detail'!S6</x:f>
        <x:v>0.104</x:v>
      </x:c>
      <x:c r="H6" s="36" t="str">
        <x:f>'Center Detail'!Q6</x:f>
        <x:v>목표 충족</x:v>
      </x:c>
      <x:c r="I6" s="40" t="str">
        <x:f>'Center Detail'!AC6</x:f>
        <x:v>파트너별 실적 누락 점검, 만족도와 연계가점 확보</x:v>
      </x:c>
      <x:c r="J6" s="40" t="str">
        <x:v>파트너별 연계·만족도·증빙</x:v>
      </x:c>
      <x:c r="K6" s="54"/>
      <x:c r="L6" s="55"/>
      <x:c r="M6" s="54" t="str">
        <x:v>미착수</x:v>
      </x:c>
      <x:c r="N6" s="54"/>
      <x:c r="O6" s="54"/>
      <x:c r="P6" s="56"/>
    </x:row>
    <x:row r="7" ht="34" customHeight="1">
      <x:c r="A7" s="35" t="str">
        <x:f>'Center Detail'!A7</x:f>
        <x:v>광주</x:v>
      </x:c>
      <x:c r="B7" s="36" t="str">
        <x:f>'Center Detail'!P7</x:f>
        <x:v>보통</x:v>
      </x:c>
      <x:c r="C7" s="36" t="str">
        <x:f>'Center Detail'!M7</x:f>
        <x:v>C</x:v>
      </x:c>
      <x:c r="D7" s="36" t="str">
        <x:f>'Center Detail'!N7</x:f>
        <x:v>B</x:v>
      </x:c>
      <x:c r="E7" s="38" t="n">
        <x:f>'Center Detail'!O7</x:f>
        <x:v>0.10106512786410349</x:v>
      </x:c>
      <x:c r="F7" s="39" t="n">
        <x:f>'Center Detail'!R7</x:f>
        <x:v>0.578</x:v>
      </x:c>
      <x:c r="G7" s="39" t="n">
        <x:f>'Center Detail'!S7</x:f>
        <x:v>0.121</x:v>
      </x:c>
      <x:c r="H7" s="36" t="str">
        <x:f>'Center Detail'!Q7</x:f>
        <x:v>즉시 승급권</x:v>
      </x:c>
      <x:c r="I7" s="40" t="str">
        <x:f>'Center Detail'!AC7</x:f>
        <x:v>중단 3명 사유 정리, 대체 실적과 취업률 60% 확보</x:v>
      </x:c>
      <x:c r="J7" s="40" t="str">
        <x:v>파트너별 연계·만족도·증빙</x:v>
      </x:c>
      <x:c r="K7" s="54"/>
      <x:c r="L7" s="55"/>
      <x:c r="M7" s="54" t="str">
        <x:v>미착수</x:v>
      </x:c>
      <x:c r="N7" s="54"/>
      <x:c r="O7" s="54"/>
      <x:c r="P7" s="56"/>
    </x:row>
    <x:row r="8" ht="34" customHeight="1">
      <x:c r="A8" s="35" t="str">
        <x:f>'Center Detail'!A8</x:f>
        <x:v>부천</x:v>
      </x:c>
      <x:c r="B8" s="36" t="str">
        <x:f>'Center Detail'!P8</x:f>
        <x:v>보통</x:v>
      </x:c>
      <x:c r="C8" s="36" t="str">
        <x:f>'Center Detail'!M8</x:f>
        <x:v>C</x:v>
      </x:c>
      <x:c r="D8" s="36" t="str">
        <x:f>'Center Detail'!N8</x:f>
        <x:v>B</x:v>
      </x:c>
      <x:c r="E8" s="38" t="n">
        <x:f>'Center Detail'!O8</x:f>
        <x:v>0.44606512786410235</x:v>
      </x:c>
      <x:c r="F8" s="39" t="n">
        <x:f>'Center Detail'!R8</x:f>
        <x:v>0.617</x:v>
      </x:c>
      <x:c r="G8" s="39" t="n">
        <x:f>'Center Detail'!S8</x:f>
        <x:v>0.046</x:v>
      </x:c>
      <x:c r="H8" s="36" t="str">
        <x:f>'Center Detail'!Q8</x:f>
        <x:v>즉시 승급권</x:v>
      </x:c>
      <x:c r="I8" s="40" t="str">
        <x:f>'Center Detail'!AC8</x:f>
        <x:v>직접알선 취업자 5명 목표, 만족도 보완</x:v>
      </x:c>
      <x:c r="J8" s="40" t="str">
        <x:v>연계·만족도·증빙</x:v>
      </x:c>
      <x:c r="K8" s="54"/>
      <x:c r="L8" s="55"/>
      <x:c r="M8" s="54" t="str">
        <x:v>미착수</x:v>
      </x:c>
      <x:c r="N8" s="54"/>
      <x:c r="O8" s="54"/>
      <x:c r="P8" s="56"/>
    </x:row>
    <x:row r="9" ht="34" customHeight="1">
      <x:c r="A9" s="35" t="str">
        <x:f>'Center Detail'!A9</x:f>
        <x:v>서울동부</x:v>
      </x:c>
      <x:c r="B9" s="36" t="str">
        <x:f>'Center Detail'!P9</x:f>
        <x:v>보통</x:v>
      </x:c>
      <x:c r="C9" s="36" t="str">
        <x:f>'Center Detail'!M9</x:f>
        <x:v>C</x:v>
      </x:c>
      <x:c r="D9" s="36" t="str">
        <x:f>'Center Detail'!N9</x:f>
        <x:v>B</x:v>
      </x:c>
      <x:c r="E9" s="38" t="n">
        <x:f>'Center Detail'!O9</x:f>
        <x:v>0.6220651278641043</x:v>
      </x:c>
      <x:c r="F9" s="39" t="n">
        <x:f>'Center Detail'!R9</x:f>
        <x:v>0.583</x:v>
      </x:c>
      <x:c r="G9" s="39" t="n">
        <x:f>'Center Detail'!S9</x:f>
        <x:v>0.046</x:v>
      </x:c>
      <x:c r="H9" s="36" t="str">
        <x:f>'Center Detail'!Q9</x:f>
        <x:v>집중관리</x:v>
      </x:c>
      <x:c r="I9" s="40" t="str">
        <x:f>'Center Detail'!AC9</x:f>
        <x:v>가점 2점, 만족도, 파트너 역할별 알선실적 관리</x:v>
      </x:c>
      <x:c r="J9" s="40" t="str">
        <x:v>파트너별 연계·만족도·증빙</x:v>
      </x:c>
      <x:c r="K9" s="54"/>
      <x:c r="L9" s="55"/>
      <x:c r="M9" s="54" t="str">
        <x:v>미착수</x:v>
      </x:c>
      <x:c r="N9" s="54"/>
      <x:c r="O9" s="54"/>
      <x:c r="P9" s="56"/>
    </x:row>
    <x:row r="10" ht="34" customHeight="1">
      <x:c r="A10" s="35" t="str">
        <x:f>'Center Detail'!A10</x:f>
        <x:v>서울남부</x:v>
      </x:c>
      <x:c r="B10" s="36" t="str">
        <x:f>'Center Detail'!P10</x:f>
        <x:v>보통</x:v>
      </x:c>
      <x:c r="C10" s="36" t="str">
        <x:f>'Center Detail'!M10</x:f>
        <x:v>C</x:v>
      </x:c>
      <x:c r="D10" s="36" t="str">
        <x:f>'Center Detail'!N10</x:f>
        <x:v>B</x:v>
      </x:c>
      <x:c r="E10" s="38" t="n">
        <x:f>'Center Detail'!O10</x:f>
        <x:v>0.8300651278641027</x:v>
      </x:c>
      <x:c r="F10" s="39" t="n">
        <x:f>'Center Detail'!R10</x:f>
        <x:v>0.583</x:v>
      </x:c>
      <x:c r="G10" s="39" t="n">
        <x:f>'Center Detail'!S10</x:f>
        <x:v>0.047</x:v>
      </x:c>
      <x:c r="H10" s="36" t="str">
        <x:f>'Center Detail'!Q10</x:f>
        <x:v>집중관리</x:v>
      </x:c>
      <x:c r="I10" s="40" t="str">
        <x:f>'Center Detail'!AC10</x:f>
        <x:v>직접알선 확대, 유지 증빙과 컨소 책임목표 확정</x:v>
      </x:c>
      <x:c r="J10" s="40" t="str">
        <x:v>파트너별 연계·만족도·증빙</x:v>
      </x:c>
      <x:c r="K10" s="54"/>
      <x:c r="L10" s="55"/>
      <x:c r="M10" s="54" t="str">
        <x:v>미착수</x:v>
      </x:c>
      <x:c r="N10" s="54"/>
      <x:c r="O10" s="54"/>
      <x:c r="P10" s="56"/>
    </x:row>
    <x:row r="11" ht="34" customHeight="1">
      <x:c r="A11" s="35" t="str">
        <x:f>'Center Detail'!A11</x:f>
        <x:v>구로</x:v>
      </x:c>
      <x:c r="B11" s="36" t="str">
        <x:f>'Center Detail'!P11</x:f>
        <x:v>위험</x:v>
      </x:c>
      <x:c r="C11" s="36" t="str">
        <x:f>'Center Detail'!M11</x:f>
        <x:v>C</x:v>
      </x:c>
      <x:c r="D11" s="36" t="str">
        <x:f>'Center Detail'!N11</x:f>
        <x:v>B</x:v>
      </x:c>
      <x:c r="E11" s="38" t="n">
        <x:f>'Center Detail'!O11</x:f>
        <x:v>1.0770651278641026</x:v>
      </x:c>
      <x:c r="F11" s="39" t="n">
        <x:f>'Center Detail'!R11</x:f>
        <x:v>0.574</x:v>
      </x:c>
      <x:c r="G11" s="39" t="n">
        <x:f>'Center Detail'!S11</x:f>
        <x:v>0.037</x:v>
      </x:c>
      <x:c r="H11" s="36" t="str">
        <x:f>'Center Detail'!Q11</x:f>
        <x:v>집중관리</x:v>
      </x:c>
      <x:c r="I11" s="40" t="str">
        <x:f>'Center Detail'!AC11</x:f>
        <x:v>본사 알선지원, 단독기관 연계실적 동시 확보</x:v>
      </x:c>
      <x:c r="J11" s="40" t="str">
        <x:v>연계·만족도·증빙</x:v>
      </x:c>
      <x:c r="K11" s="54"/>
      <x:c r="L11" s="55"/>
      <x:c r="M11" s="54" t="str">
        <x:v>미착수</x:v>
      </x:c>
      <x:c r="N11" s="54"/>
      <x:c r="O11" s="54"/>
      <x:c r="P11" s="56"/>
    </x:row>
    <x:row r="12" ht="34" customHeight="1">
      <x:c r="A12" s="35" t="str">
        <x:f>'Center Detail'!A12</x:f>
        <x:v>대구동부</x:v>
      </x:c>
      <x:c r="B12" s="36" t="str">
        <x:f>'Center Detail'!P12</x:f>
        <x:v>위험</x:v>
      </x:c>
      <x:c r="C12" s="36" t="str">
        <x:f>'Center Detail'!M12</x:f>
        <x:v>C</x:v>
      </x:c>
      <x:c r="D12" s="36" t="str">
        <x:f>'Center Detail'!N12</x:f>
        <x:v>B</x:v>
      </x:c>
      <x:c r="E12" s="38" t="n">
        <x:f>'Center Detail'!O12</x:f>
        <x:v>0.6100651278641038</x:v>
      </x:c>
      <x:c r="F12" s="39" t="n">
        <x:f>'Center Detail'!R12</x:f>
        <x:v>0.572</x:v>
      </x:c>
      <x:c r="G12" s="39" t="n">
        <x:f>'Center Detail'!S12</x:f>
        <x:v>0.1</x:v>
      </x:c>
      <x:c r="H12" s="36" t="str">
        <x:f>'Center Detail'!Q12</x:f>
        <x:v>집중관리</x:v>
      </x:c>
      <x:c r="I12" s="40" t="str">
        <x:f>'Center Detail'!AC12</x:f>
        <x:v>취업률 60%와 연계점수 확보, 상승세 유지</x:v>
      </x:c>
      <x:c r="J12" s="40" t="str">
        <x:v>파트너별 연계·만족도·증빙</x:v>
      </x:c>
      <x:c r="K12" s="54"/>
      <x:c r="L12" s="55"/>
      <x:c r="M12" s="54" t="str">
        <x:v>미착수</x:v>
      </x:c>
      <x:c r="N12" s="54"/>
      <x:c r="O12" s="54"/>
      <x:c r="P12" s="56"/>
    </x:row>
    <x:row r="13" ht="34" customHeight="1">
      <x:c r="A13" s="35" t="str">
        <x:f>'Center Detail'!A13</x:f>
        <x:v>부산동부</x:v>
      </x:c>
      <x:c r="B13" s="36" t="str">
        <x:f>'Center Detail'!P13</x:f>
        <x:v>위험</x:v>
      </x:c>
      <x:c r="C13" s="36" t="str">
        <x:f>'Center Detail'!M13</x:f>
        <x:v>C</x:v>
      </x:c>
      <x:c r="D13" s="36" t="str">
        <x:f>'Center Detail'!N13</x:f>
        <x:v>B</x:v>
      </x:c>
      <x:c r="E13" s="38" t="n">
        <x:f>'Center Detail'!O13</x:f>
        <x:v>0.8720651278641043</x:v>
      </x:c>
      <x:c r="F13" s="39" t="n">
        <x:f>'Center Detail'!R13</x:f>
        <x:v>0.582</x:v>
      </x:c>
      <x:c r="G13" s="39" t="n">
        <x:f>'Center Detail'!S13</x:f>
        <x:v>0.131</x:v>
      </x:c>
      <x:c r="H13" s="36" t="str">
        <x:f>'Center Detail'!Q13</x:f>
        <x:v>집중관리</x:v>
      </x:c>
      <x:c r="I13" s="40" t="str">
        <x:f>'Center Detail'!AC13</x:f>
        <x:v>취업률 60%, 연계 2점 이상, 유지 증빙 점검</x:v>
      </x:c>
      <x:c r="J13" s="40" t="str">
        <x:v>연계·만족도·증빙</x:v>
      </x:c>
      <x:c r="K13" s="54"/>
      <x:c r="L13" s="55"/>
      <x:c r="M13" s="54" t="str">
        <x:v>미착수</x:v>
      </x:c>
      <x:c r="N13" s="54"/>
      <x:c r="O13" s="54"/>
      <x:c r="P13" s="56"/>
    </x:row>
    <x:row r="14" ht="34" customHeight="1">
      <x:c r="A14" s="35" t="str">
        <x:f>'Center Detail'!A14</x:f>
        <x:v>고양</x:v>
      </x:c>
      <x:c r="B14" s="36" t="str">
        <x:f>'Center Detail'!P14</x:f>
        <x:v>위험</x:v>
      </x:c>
      <x:c r="C14" s="36" t="str">
        <x:f>'Center Detail'!M14</x:f>
        <x:v>D</x:v>
      </x:c>
      <x:c r="D14" s="36" t="str">
        <x:f>'Center Detail'!N14</x:f>
        <x:v>B</x:v>
      </x:c>
      <x:c r="E14" s="38" t="n">
        <x:f>'Center Detail'!O14</x:f>
        <x:v>1.3770651278640997</x:v>
      </x:c>
      <x:c r="F14" s="39" t="n">
        <x:f>'Center Detail'!R14</x:f>
        <x:v>0.537</x:v>
      </x:c>
      <x:c r="G14" s="39" t="n">
        <x:f>'Center Detail'!S14</x:f>
        <x:v>0.093</x:v>
      </x:c>
      <x:c r="H14" s="36" t="str">
        <x:f>'Center Detail'!Q14</x:f>
        <x:v>집중관리</x:v>
      </x:c>
      <x:c r="I14" s="40" t="str">
        <x:f>'Center Detail'!AC14</x:f>
        <x:v>먼저 C 경계 돌파, 취업자 집중 발굴과 연계 2점</x:v>
      </x:c>
      <x:c r="J14" s="40" t="str">
        <x:v>파트너별 연계·만족도·증빙</x:v>
      </x:c>
      <x:c r="K14" s="54"/>
      <x:c r="L14" s="55"/>
      <x:c r="M14" s="54" t="str">
        <x:v>미착수</x:v>
      </x:c>
      <x:c r="N14" s="54"/>
      <x:c r="O14" s="54"/>
      <x:c r="P14" s="56"/>
    </x:row>
    <x:row r="15" ht="34" customHeight="1">
      <x:c r="A15" s="35" t="str">
        <x:f>'Center Detail'!A15</x:f>
        <x:v>전주</x:v>
      </x:c>
      <x:c r="B15" s="36" t="str">
        <x:f>'Center Detail'!P15</x:f>
        <x:v>위험</x:v>
      </x:c>
      <x:c r="C15" s="36" t="str">
        <x:f>'Center Detail'!M15</x:f>
        <x:v>D</x:v>
      </x:c>
      <x:c r="D15" s="36" t="str">
        <x:f>'Center Detail'!N15</x:f>
        <x:v>C</x:v>
      </x:c>
      <x:c r="E15" s="38" t="n">
        <x:f>'Center Detail'!O15</x:f>
        <x:v>0.4275665458294995</x:v>
      </x:c>
      <x:c r="F15" s="39" t="n">
        <x:f>'Center Detail'!R15</x:f>
        <x:v>0.553</x:v>
      </x:c>
      <x:c r="G15" s="39" t="n">
        <x:f>'Center Detail'!S15</x:f>
        <x:v>0.054</x:v>
      </x:c>
      <x:c r="H15" s="36" t="str">
        <x:f>'Center Detail'!Q15</x:f>
        <x:v>즉시 승급권</x:v>
      </x:c>
      <x:c r="I15" s="40" t="str">
        <x:f>'Center Detail'!AC15</x:f>
        <x:v>직접알선과 취업자를 동시 확대, 연계실적 확정</x:v>
      </x:c>
      <x:c r="J15" s="40" t="str">
        <x:v>파트너별 연계·만족도·증빙</x:v>
      </x:c>
      <x:c r="K15" s="54"/>
      <x:c r="L15" s="55"/>
      <x:c r="M15" s="54" t="str">
        <x:v>미착수</x:v>
      </x:c>
      <x:c r="N15" s="54"/>
      <x:c r="O15" s="54"/>
      <x:c r="P15" s="56"/>
    </x:row>
    <x:row r="16" ht="34" customHeight="1">
      <x:c r="A16" s="35" t="str">
        <x:f>'Center Detail'!A16</x:f>
        <x:v>천안</x:v>
      </x:c>
      <x:c r="B16" s="36" t="str">
        <x:f>'Center Detail'!P16</x:f>
        <x:v>위험</x:v>
      </x:c>
      <x:c r="C16" s="36" t="str">
        <x:f>'Center Detail'!M16</x:f>
        <x:v>D</x:v>
      </x:c>
      <x:c r="D16" s="36" t="str">
        <x:f>'Center Detail'!N16</x:f>
        <x:v>C</x:v>
      </x:c>
      <x:c r="E16" s="38" t="n">
        <x:f>'Center Detail'!O16</x:f>
        <x:v>1.6975665458294955</x:v>
      </x:c>
      <x:c r="F16" s="39" t="n">
        <x:f>'Center Detail'!R16</x:f>
        <x:v>0.501</x:v>
      </x:c>
      <x:c r="G16" s="39" t="n">
        <x:f>'Center Detail'!S16</x:f>
        <x:v>0.074</x:v>
      </x:c>
      <x:c r="H16" s="36" t="str">
        <x:f>'Center Detail'!Q16</x:f>
        <x:v>구조개선</x:v>
      </x:c>
      <x:c r="I16" s="40" t="str">
        <x:f>'Center Detail'!AC16</x:f>
        <x:v>해외취업 인정 확인, 취업자 구조개선 집중</x:v>
      </x:c>
      <x:c r="J16" s="40" t="str">
        <x:v>연계·만족도·증빙</x:v>
      </x:c>
      <x:c r="K16" s="54"/>
      <x:c r="L16" s="55"/>
      <x:c r="M16" s="54" t="str">
        <x:v>미착수</x:v>
      </x:c>
      <x:c r="N16" s="54"/>
      <x:c r="O16" s="54"/>
      <x:c r="P16" s="56"/>
    </x:row>
    <x:row r="17" ht="34" customHeight="1">
      <x:c r="A17" s="42" t="str">
        <x:f>'Center Detail'!A17</x:f>
        <x:v>서영사무소</x:v>
      </x:c>
      <x:c r="B17" s="43" t="str">
        <x:f>'Center Detail'!P17</x:f>
        <x:v>위험</x:v>
      </x:c>
      <x:c r="C17" s="43" t="str">
        <x:f>'Center Detail'!M17</x:f>
        <x:v>D</x:v>
      </x:c>
      <x:c r="D17" s="43" t="str">
        <x:f>'Center Detail'!N17</x:f>
        <x:v>C</x:v>
      </x:c>
      <x:c r="E17" s="45" t="n">
        <x:f>'Center Detail'!O17</x:f>
        <x:v>4.245566545829497</x:v>
      </x:c>
      <x:c r="F17" s="46" t="n">
        <x:f>'Center Detail'!R17</x:f>
        <x:v>0.428</x:v>
      </x:c>
      <x:c r="G17" s="46" t="n">
        <x:f>'Center Detail'!S17</x:f>
        <x:v>0.034</x:v>
      </x:c>
      <x:c r="H17" s="43" t="str">
        <x:f>'Center Detail'!Q17</x:f>
        <x:v>구조개선</x:v>
      </x:c>
      <x:c r="I17" s="47" t="str">
        <x:f>'Center Detail'!AC17</x:f>
        <x:v>본사 개입형 취업·알선 파이프라인 주간 운영</x:v>
      </x:c>
      <x:c r="J17" s="47" t="str">
        <x:v>연계·만족도·증빙</x:v>
      </x:c>
      <x:c r="K17" s="57"/>
      <x:c r="L17" s="58"/>
      <x:c r="M17" s="57" t="str">
        <x:v>미착수</x:v>
      </x:c>
      <x:c r="N17" s="57"/>
      <x:c r="O17" s="57"/>
      <x:c r="P17" s="59"/>
    </x:row>
  </x:sheetData>
  <x:conditionalFormatting sqref="B2:B17">
    <x:cfRule type="containsText" dxfId="4" priority="1" operator="containsText" text="위험"/>
  </x:conditionalFormatting>
  <x:conditionalFormatting sqref="M2:M17">
    <x:cfRule type="containsText" dxfId="5" priority="2" operator="containsText" text="완료"/>
    <x:cfRule type="containsText" dxfId="6" priority="3" operator="containsText" text="지연"/>
  </x:conditionalFormatting>
  <x:dataValidations count="1">
    <x:dataValidation type="list" sqref="M2:M17">
      <x:formula1>"미착수,진행중,완료,지연"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3" hidden="0" customWidth="1"/>
    <x:col min="4" max="4" width="64" hidden="0" customWidth="1"/>
  </x:cols>
  <x:sheetData>
    <x:row r="2">
      <x:c r="A2" s="138" t="str">
        <x:v>출처 및 기준</x:v>
      </x:c>
      <x:c r="B2" s="129"/>
      <x:c r="C2" s="129"/>
      <x:c r="D2" s="129"/>
    </x:row>
    <x:row r="3">
      <x:c r="A3" s="129"/>
      <x:c r="B3" s="129"/>
      <x:c r="C3" s="129"/>
      <x:c r="D3" s="129"/>
    </x:row>
    <x:row r="4">
      <x:c r="A4" s="12" t="str">
        <x:v>항목</x:v>
      </x:c>
      <x:c r="B4" s="13" t="str">
        <x:v>내용</x:v>
      </x:c>
      <x:c r="C4" s="129"/>
      <x:c r="D4" s="7" t="str">
        <x:v>분석 한계</x:v>
      </x:c>
    </x:row>
    <x:row r="5" ht="38" customHeight="1">
      <x:c r="A5" s="139" t="str">
        <x:v>2026년 실적</x:v>
      </x:c>
      <x:c r="B5" s="140" t="str">
        <x:v>https://docs.google.com/spreadsheets/d/1xmeOgfiZJBL_IRK86J0VZFSv63vJtGy8/edit?gid=1999365257</x:v>
      </x:c>
      <x:c r="C5" s="129"/>
      <x:c r="D5" s="122" t="str">
        <x:v>6월 팩터별 세부점수는 제공 파일에 없어 6→8월 팩터 증감은 산출하지 않음</x:v>
      </x:c>
    </x:row>
    <x:row r="6" ht="38" customHeight="1">
      <x:c r="A6" s="139" t="str">
        <x:v>2025년 최종실적</x:v>
      </x:c>
      <x:c r="B6" s="140" t="str">
        <x:v>https://drive.google.com/file/d/1Xjzg_2W7kdvaQFuhmfxfz2ZTlRKhXLpd/view</x:v>
      </x:c>
      <x:c r="C6" s="129"/>
      <x:c r="D6" s="122" t="str">
        <x:v>2025년 총점에는 만족도·가점이 포함되어 2026년 8월 총점과 직접 비교하지 않음</x:v>
      </x:c>
    </x:row>
    <x:row r="7" ht="38" customHeight="1">
      <x:c r="A7" s="139" t="str">
        <x:v>기준일</x:v>
      </x:c>
      <x:c r="B7" s="140" t="str">
        <x:v>2026년 8월 말 실적, 파일 수정일 2026-09-26</x:v>
      </x:c>
      <x:c r="C7" s="129"/>
      <x:c r="D7" s="122" t="str">
        <x:v>2025년 동일 운영단위 확인이 어려운 서울·청주·서영사무소는 비교불가로 표시</x:v>
      </x:c>
    </x:row>
    <x:row r="8">
      <x:c r="A8" s="141"/>
      <x:c r="B8" s="142"/>
      <x:c r="C8" s="129"/>
      <x:c r="D8" s="129"/>
    </x:row>
    <x:row r="9">
      <x:c r="A9" s="141"/>
      <x:c r="B9" s="142"/>
      <x:c r="C9" s="129"/>
      <x:c r="D9" s="129"/>
    </x:row>
    <x:row r="10">
      <x:c r="A10" s="18" t="str">
        <x:v>8월 등급</x:v>
      </x:c>
      <x:c r="B10" s="19" t="str">
        <x:v>점수 하한</x:v>
      </x:c>
      <x:c r="C10" s="129"/>
      <x:c r="D10" s="129"/>
    </x:row>
    <x:row r="11">
      <x:c r="A11" s="141" t="str">
        <x:v>A</x:v>
      </x:c>
      <x:c r="B11" s="143" t="n">
        <x:v>45.9929350079649</x:v>
      </x:c>
      <x:c r="C11" s="129"/>
      <x:c r="D11" s="129"/>
    </x:row>
    <x:row r="12">
      <x:c r="A12" s="141" t="str">
        <x:v>B</x:v>
      </x:c>
      <x:c r="B12" s="143" t="n">
        <x:v>43.6690651278641</x:v>
      </x:c>
      <x:c r="C12" s="129"/>
      <x:c r="D12" s="129"/>
    </x:row>
    <x:row r="13">
      <x:c r="A13" s="141" t="str">
        <x:v>C</x:v>
      </x:c>
      <x:c r="B13" s="143" t="n">
        <x:v>42.3585665458295</x:v>
      </x:c>
      <x:c r="C13" s="129"/>
      <x:c r="D13" s="129"/>
    </x:row>
    <x:row r="14">
      <x:c r="A14" s="144" t="str">
        <x:v>D</x:v>
      </x:c>
      <x:c r="B14" s="145" t="n">
        <x:v>38.1133134316125</x:v>
      </x:c>
      <x:c r="C14" s="129"/>
      <x:c r="D14" s="129"/>
    </x:row>
  </x:sheetData>
  <x:pageMargins left="0.7" right="0.7" top="0.75" bottom="0.75" header="0.3" footer="0.3"/>
</x:worksheet>
</file>